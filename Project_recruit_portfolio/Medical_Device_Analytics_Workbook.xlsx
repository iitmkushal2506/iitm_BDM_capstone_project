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usha\Desktop\ALL\BDM_JUN26\"/>
    </mc:Choice>
  </mc:AlternateContent>
  <xr:revisionPtr revIDLastSave="0" documentId="13_ncr:1_{E9107C39-E521-4567-8DF9-5A25274A4C7E}" xr6:coauthVersionLast="47" xr6:coauthVersionMax="47" xr10:uidLastSave="{00000000-0000-0000-0000-000000000000}"/>
  <bookViews>
    <workbookView xWindow="43080" yWindow="5415" windowWidth="29040" windowHeight="15720" activeTab="5" xr2:uid="{00000000-000D-0000-FFFF-FFFF00000000}"/>
  </bookViews>
  <sheets>
    <sheet name="Raw_Data" sheetId="1" r:id="rId1"/>
    <sheet name="Metadata" sheetId="2" r:id="rId2"/>
    <sheet name="Descriptive_Statistics" sheetId="3" r:id="rId3"/>
    <sheet name="P1_Defect_Analysis" sheetId="4" r:id="rId4"/>
    <sheet name="P2_COPQ_Analysis" sheetId="5" r:id="rId5"/>
    <sheet name="P3_Inventory_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7" i="3"/>
  <c r="F7" i="3"/>
  <c r="E7" i="3"/>
  <c r="D7" i="3"/>
  <c r="C7" i="3"/>
  <c r="B7" i="3"/>
  <c r="G6" i="3"/>
  <c r="F6" i="3"/>
  <c r="E6" i="3"/>
  <c r="D6" i="3"/>
  <c r="C6" i="3"/>
  <c r="B6" i="3"/>
</calcChain>
</file>

<file path=xl/sharedStrings.xml><?xml version="1.0" encoding="utf-8"?>
<sst xmlns="http://schemas.openxmlformats.org/spreadsheetml/2006/main" count="1138" uniqueCount="369">
  <si>
    <t>Month</t>
  </si>
  <si>
    <t>Product</t>
  </si>
  <si>
    <t>Batch_Number</t>
  </si>
  <si>
    <t>Units_Produced</t>
  </si>
  <si>
    <t>Units_Rejected</t>
  </si>
  <si>
    <t>Rejection_Reason</t>
  </si>
  <si>
    <t>Unit_Cost_INR</t>
  </si>
  <si>
    <t>Rework_Cost_INR</t>
  </si>
  <si>
    <t>Scrap_Cost_INR</t>
  </si>
  <si>
    <t>Rework_Labour_Hours</t>
  </si>
  <si>
    <t>Opening_Stock</t>
  </si>
  <si>
    <t>Sales_Qty</t>
  </si>
  <si>
    <t>Closing_Stock</t>
  </si>
  <si>
    <t>Reorder_Qty</t>
  </si>
  <si>
    <t>Stockout_Incident</t>
  </si>
  <si>
    <t>Jan-25</t>
  </si>
  <si>
    <t>Bone Plate</t>
  </si>
  <si>
    <t>BOJan25</t>
  </si>
  <si>
    <t>Surface Finish</t>
  </si>
  <si>
    <t>No</t>
  </si>
  <si>
    <t>Bone Screw</t>
  </si>
  <si>
    <t>Thread Defect</t>
  </si>
  <si>
    <t>Intramedullary Nail</t>
  </si>
  <si>
    <t>INJan25</t>
  </si>
  <si>
    <t>Dimension Variation</t>
  </si>
  <si>
    <t>Bone Nibbler</t>
  </si>
  <si>
    <t>Burr Formation</t>
  </si>
  <si>
    <t>Wire Cutter</t>
  </si>
  <si>
    <t>WIJan25</t>
  </si>
  <si>
    <t>Material Defect</t>
  </si>
  <si>
    <t>Needle Holder</t>
  </si>
  <si>
    <t>NEJan25</t>
  </si>
  <si>
    <t>Packaging Damage</t>
  </si>
  <si>
    <t>Plaster Cutting Saw</t>
  </si>
  <si>
    <t>PLJan25</t>
  </si>
  <si>
    <t>Feb-25</t>
  </si>
  <si>
    <t>BOFeb25</t>
  </si>
  <si>
    <t>INFeb25</t>
  </si>
  <si>
    <t>WIFeb25</t>
  </si>
  <si>
    <t>NEFeb25</t>
  </si>
  <si>
    <t>PLFeb25</t>
  </si>
  <si>
    <t>Mar-25</t>
  </si>
  <si>
    <t>BOMar25</t>
  </si>
  <si>
    <t>INMar25</t>
  </si>
  <si>
    <t>WIMar25</t>
  </si>
  <si>
    <t>NEMar25</t>
  </si>
  <si>
    <t>PLMar25</t>
  </si>
  <si>
    <t>Apr-25</t>
  </si>
  <si>
    <t>BOApr25</t>
  </si>
  <si>
    <t>INApr25</t>
  </si>
  <si>
    <t>WIApr25</t>
  </si>
  <si>
    <t>NEApr25</t>
  </si>
  <si>
    <t>PLApr25</t>
  </si>
  <si>
    <t>May-25</t>
  </si>
  <si>
    <t>BOMay25</t>
  </si>
  <si>
    <t>INMay25</t>
  </si>
  <si>
    <t>WIMay25</t>
  </si>
  <si>
    <t>NEMay25</t>
  </si>
  <si>
    <t>PLMay25</t>
  </si>
  <si>
    <t>Jun-25</t>
  </si>
  <si>
    <t>BOJun25</t>
  </si>
  <si>
    <t>INJun25</t>
  </si>
  <si>
    <t>WIJun25</t>
  </si>
  <si>
    <t>NEJun25</t>
  </si>
  <si>
    <t>PLJun25</t>
  </si>
  <si>
    <t>Jul-25</t>
  </si>
  <si>
    <t>BOJul25</t>
  </si>
  <si>
    <t>Yes</t>
  </si>
  <si>
    <t>INJul25</t>
  </si>
  <si>
    <t>WIJul25</t>
  </si>
  <si>
    <t>NEJul25</t>
  </si>
  <si>
    <t>PLJul25</t>
  </si>
  <si>
    <t>Aug-25</t>
  </si>
  <si>
    <t>BOAug25</t>
  </si>
  <si>
    <t>INAug25</t>
  </si>
  <si>
    <t>WIAug25</t>
  </si>
  <si>
    <t>NEAug25</t>
  </si>
  <si>
    <t>PLAug25</t>
  </si>
  <si>
    <t>Sep-25</t>
  </si>
  <si>
    <t>BOSep25</t>
  </si>
  <si>
    <t>INSep25</t>
  </si>
  <si>
    <t>WISep25</t>
  </si>
  <si>
    <t>NESep25</t>
  </si>
  <si>
    <t>PLSep25</t>
  </si>
  <si>
    <t>Oct-25</t>
  </si>
  <si>
    <t>BOOct25</t>
  </si>
  <si>
    <t>INOct25</t>
  </si>
  <si>
    <t>WIOct25</t>
  </si>
  <si>
    <t>NEOct25</t>
  </si>
  <si>
    <t>PLOct25</t>
  </si>
  <si>
    <t>Nov-25</t>
  </si>
  <si>
    <t>BONov25</t>
  </si>
  <si>
    <t>INNov25</t>
  </si>
  <si>
    <t>WINov25</t>
  </si>
  <si>
    <t>NENov25</t>
  </si>
  <si>
    <t>PLNov25</t>
  </si>
  <si>
    <t>Dec-25</t>
  </si>
  <si>
    <t>BODec25</t>
  </si>
  <si>
    <t>INDec25</t>
  </si>
  <si>
    <t>WIDec25</t>
  </si>
  <si>
    <t>NEDec25</t>
  </si>
  <si>
    <t>PLDec25</t>
  </si>
  <si>
    <t>Jan-26</t>
  </si>
  <si>
    <t>BOJan26</t>
  </si>
  <si>
    <t>INJan26</t>
  </si>
  <si>
    <t>WIJan26</t>
  </si>
  <si>
    <t>NEJan26</t>
  </si>
  <si>
    <t>PLJan26</t>
  </si>
  <si>
    <t>Feb-26</t>
  </si>
  <si>
    <t>BOFeb26</t>
  </si>
  <si>
    <t>INFeb26</t>
  </si>
  <si>
    <t>WIFeb26</t>
  </si>
  <si>
    <t>NEFeb26</t>
  </si>
  <si>
    <t>PLFeb26</t>
  </si>
  <si>
    <t>Mar-26</t>
  </si>
  <si>
    <t>BOMar26</t>
  </si>
  <si>
    <t>INMar26</t>
  </si>
  <si>
    <t>WIMar26</t>
  </si>
  <si>
    <t>NEMar26</t>
  </si>
  <si>
    <t>PLMar26</t>
  </si>
  <si>
    <t>Apr-26</t>
  </si>
  <si>
    <t>BOApr26</t>
  </si>
  <si>
    <t>INApr26</t>
  </si>
  <si>
    <t>WIApr26</t>
  </si>
  <si>
    <t>NEApr26</t>
  </si>
  <si>
    <t>PLApr26</t>
  </si>
  <si>
    <t>May-26</t>
  </si>
  <si>
    <t>BOMay26</t>
  </si>
  <si>
    <t>INMay26</t>
  </si>
  <si>
    <t>WIMay26</t>
  </si>
  <si>
    <t>NEMay26</t>
  </si>
  <si>
    <t>PLMay26</t>
  </si>
  <si>
    <t>SECTION 1 — DATA OVERVIEW</t>
  </si>
  <si>
    <t>Attribute</t>
  </si>
  <si>
    <t>Details</t>
  </si>
  <si>
    <t>Total Records</t>
  </si>
  <si>
    <t>119 rows</t>
  </si>
  <si>
    <t>Time Period</t>
  </si>
  <si>
    <t>January 2025 to May 2026</t>
  </si>
  <si>
    <t>Duration</t>
  </si>
  <si>
    <t>17 months</t>
  </si>
  <si>
    <t>Number of Products</t>
  </si>
  <si>
    <t>7</t>
  </si>
  <si>
    <t>Number of Variables</t>
  </si>
  <si>
    <t>15</t>
  </si>
  <si>
    <t>Data Format</t>
  </si>
  <si>
    <t>Excel (.xlsx)</t>
  </si>
  <si>
    <t>Missing Values</t>
  </si>
  <si>
    <t>0 (complete dataset)</t>
  </si>
  <si>
    <t>Data Source</t>
  </si>
  <si>
    <t>Primary — collected directly from KK Surgicals</t>
  </si>
  <si>
    <t>Data Type</t>
  </si>
  <si>
    <t>Mixed — Numerical, Categorical, Date</t>
  </si>
  <si>
    <t>SECTION 2 — VARIABLE DESCRIPTION TABLE</t>
  </si>
  <si>
    <t>Variable Name</t>
  </si>
  <si>
    <t>Description</t>
  </si>
  <si>
    <t>Role / Usage</t>
  </si>
  <si>
    <t>Linked Problem</t>
  </si>
  <si>
    <t>Source</t>
  </si>
  <si>
    <t>Month and year of the record</t>
  </si>
  <si>
    <t>Categorical (Date)</t>
  </si>
  <si>
    <t>Time dimension for trend analysis</t>
  </si>
  <si>
    <t>All Problems</t>
  </si>
  <si>
    <t>Company registers</t>
  </si>
  <si>
    <t>Name of the product (7 types)</t>
  </si>
  <si>
    <t>Categorical</t>
  </si>
  <si>
    <t>Group identifier for product-wise analysis</t>
  </si>
  <si>
    <t>Company records</t>
  </si>
  <si>
    <t>Unique batch identifier per product per month</t>
  </si>
  <si>
    <t>Links production batches to quality data</t>
  </si>
  <si>
    <t>Problem 1</t>
  </si>
  <si>
    <t>Production logs</t>
  </si>
  <si>
    <t>Total units manufactured in that batch</t>
  </si>
  <si>
    <t>Numerical (Integer)</t>
  </si>
  <si>
    <t>Denominator for defect rate calculation</t>
  </si>
  <si>
    <t>Total units rejected/non-conforming</t>
  </si>
  <si>
    <t>Numerator for defect rate; SPC input</t>
  </si>
  <si>
    <t>Rejection logs</t>
  </si>
  <si>
    <t>Reason for rejection (6 categories)</t>
  </si>
  <si>
    <t>Pareto &amp; RCA input</t>
  </si>
  <si>
    <t>QC inspection records</t>
  </si>
  <si>
    <t>Cost to manufacture one unit (INR)</t>
  </si>
  <si>
    <t>COPQ formula input</t>
  </si>
  <si>
    <t>Problem 2</t>
  </si>
  <si>
    <t>Cost sheets</t>
  </si>
  <si>
    <t>Total cost of rework for that batch (INR)</t>
  </si>
  <si>
    <t>COPQ component; ANOVA input</t>
  </si>
  <si>
    <t>Total scrap/wastage cost for that batch (INR)</t>
  </si>
  <si>
    <t>Labour hours spent on rework for that batch</t>
  </si>
  <si>
    <t>Numerical (Float)</t>
  </si>
  <si>
    <t>Labour efficiency analysis</t>
  </si>
  <si>
    <t>Stock available at the start of the month</t>
  </si>
  <si>
    <t>Inventory baseline</t>
  </si>
  <si>
    <t>Problem 3</t>
  </si>
  <si>
    <t>Stock registers</t>
  </si>
  <si>
    <t>Units sold during the month</t>
  </si>
  <si>
    <t>Demand input for ARIMA &amp; EOQ</t>
  </si>
  <si>
    <t>Sales records</t>
  </si>
  <si>
    <t>Stock remaining at end of month</t>
  </si>
  <si>
    <t>Inventory output; stockout detection</t>
  </si>
  <si>
    <t>Quantity reordered during the month</t>
  </si>
  <si>
    <t>Current reorder behaviour baseline</t>
  </si>
  <si>
    <t>Purchase records</t>
  </si>
  <si>
    <t>Whether a stockout occurred (Yes/No)</t>
  </si>
  <si>
    <t>Categorical (Binary)</t>
  </si>
  <si>
    <t>Stockout frequency; ROP justification</t>
  </si>
  <si>
    <t>SECTION 3 — PRODUCTS &amp; REJECTION REASON CATEGORIES</t>
  </si>
  <si>
    <t>#</t>
  </si>
  <si>
    <t>Product Name</t>
  </si>
  <si>
    <t>Unit Cost (INR)</t>
  </si>
  <si>
    <t>Category</t>
  </si>
  <si>
    <t>Rejection Reason</t>
  </si>
  <si>
    <t>₹450</t>
  </si>
  <si>
    <t>Orthopaedic Implant</t>
  </si>
  <si>
    <t>₹120</t>
  </si>
  <si>
    <t>₹950</t>
  </si>
  <si>
    <t>₹2,500</t>
  </si>
  <si>
    <t>Surgical Instrument</t>
  </si>
  <si>
    <t>₹3,000</t>
  </si>
  <si>
    <t>₹400</t>
  </si>
  <si>
    <t>₹12,000</t>
  </si>
  <si>
    <t>4.1 — OVERALL SUMMARY STATISTICS (All Variables)</t>
  </si>
  <si>
    <t>Variable</t>
  </si>
  <si>
    <t>Mean</t>
  </si>
  <si>
    <t>Median</t>
  </si>
  <si>
    <t>Std Dev</t>
  </si>
  <si>
    <t>Min</t>
  </si>
  <si>
    <t>Max</t>
  </si>
  <si>
    <t>Count</t>
  </si>
  <si>
    <t>Observation</t>
  </si>
  <si>
    <t>Units manufactured per batch</t>
  </si>
  <si>
    <t>Units rejected per batch</t>
  </si>
  <si>
    <t>Defect_Rate (%)</t>
  </si>
  <si>
    <t>Percentage of units rejected</t>
  </si>
  <si>
    <t>Manufacturing cost per unit (INR)</t>
  </si>
  <si>
    <t>Rework cost per batch (INR)</t>
  </si>
  <si>
    <t>Scrap cost per batch (INR)</t>
  </si>
  <si>
    <t>Labour hours on rework per batch</t>
  </si>
  <si>
    <t>Stock at start of month</t>
  </si>
  <si>
    <t>Units sold per month</t>
  </si>
  <si>
    <t>Stock at end of month</t>
  </si>
  <si>
    <t>COPQ (INR)</t>
  </si>
  <si>
    <t>Total Cost of Poor Quality per batch</t>
  </si>
  <si>
    <t>4.2 — PRODUCT-WISE DEFECT RATE</t>
  </si>
  <si>
    <t>Total Produced</t>
  </si>
  <si>
    <t>Total Rejected</t>
  </si>
  <si>
    <t>Defect Rate (%)</t>
  </si>
  <si>
    <t>Rank</t>
  </si>
  <si>
    <t>Status</t>
  </si>
  <si>
    <t>BELOW AVERAGE</t>
  </si>
  <si>
    <t>ABOVE AVERAGE</t>
  </si>
  <si>
    <t>4.3 — PRODUCT-WISE COST OF POOR QUALITY (COPQ)</t>
  </si>
  <si>
    <t>Rework Cost (INR)</t>
  </si>
  <si>
    <t>Scrap Cost (INR)</t>
  </si>
  <si>
    <t>Total COPQ (INR)</t>
  </si>
  <si>
    <t>COPQ % of Total</t>
  </si>
  <si>
    <t>Labour Hours</t>
  </si>
  <si>
    <t>0.55%</t>
  </si>
  <si>
    <t>1.28%</t>
  </si>
  <si>
    <t>3.11%</t>
  </si>
  <si>
    <t>5.6%</t>
  </si>
  <si>
    <t>9.99%</t>
  </si>
  <si>
    <t>17.27%</t>
  </si>
  <si>
    <t>62.2%</t>
  </si>
  <si>
    <t>TOTAL</t>
  </si>
  <si>
    <t>100%</t>
  </si>
  <si>
    <t>4.4 — INVENTORY SUMMARY BY PRODUCT</t>
  </si>
  <si>
    <t>Avg Opening Stock</t>
  </si>
  <si>
    <t>Avg Sales/Month</t>
  </si>
  <si>
    <t>Avg Closing Stock</t>
  </si>
  <si>
    <t>Min Closing Stock</t>
  </si>
  <si>
    <t>Stockout Incidents</t>
  </si>
  <si>
    <t>Methods: Root Cause Analysis (RCA) + Statistical Process Control (SPC)  ·  Tools: Excel + Python</t>
  </si>
  <si>
    <t>TABLE 1 — MONTHLY DEFECT RATE TREND</t>
  </si>
  <si>
    <t>vs Previous Month</t>
  </si>
  <si>
    <t>Trend</t>
  </si>
  <si>
    <t>—</t>
  </si>
  <si>
    <t>+0.00%</t>
  </si>
  <si>
    <t>+0.01%</t>
  </si>
  <si>
    <t>-0.01%</t>
  </si>
  <si>
    <t>-0.02%</t>
  </si>
  <si>
    <t>+0.02%</t>
  </si>
  <si>
    <t>OVERALL</t>
  </si>
  <si>
    <t>TABLE 2 — REJECTION REASON FREQUENCY (Pareto Analysis)</t>
  </si>
  <si>
    <t>Frequency</t>
  </si>
  <si>
    <t>% of Total</t>
  </si>
  <si>
    <t>Cumulative %</t>
  </si>
  <si>
    <t>Pareto Rank</t>
  </si>
  <si>
    <t>Action Priority</t>
  </si>
  <si>
    <t>16.81%</t>
  </si>
  <si>
    <t>HIGH</t>
  </si>
  <si>
    <t>33.62%</t>
  </si>
  <si>
    <t>50.43%</t>
  </si>
  <si>
    <t>67.24%</t>
  </si>
  <si>
    <t>84.05%</t>
  </si>
  <si>
    <t>MEDIUM</t>
  </si>
  <si>
    <t>15.97%</t>
  </si>
  <si>
    <t>100.02%</t>
  </si>
  <si>
    <t>Methods: COPQ Formula + Hypothesis Testing (T-test, ANOVA)  ·  Tools: Excel + Python (SciPy, statsmodels)</t>
  </si>
  <si>
    <t>COPQ FORMULA:  COPQ = (Unit Cost × Non-Conforming Qty) + Rework Cost + Scrap Cost</t>
  </si>
  <si>
    <t>TABLE 1 — MONTHLY COPQ TREND</t>
  </si>
  <si>
    <t>MoM Change</t>
  </si>
  <si>
    <t>₹+30</t>
  </si>
  <si>
    <t>▲</t>
  </si>
  <si>
    <t>₹+908</t>
  </si>
  <si>
    <t>₹+667</t>
  </si>
  <si>
    <t>₹+0</t>
  </si>
  <si>
    <t>▼</t>
  </si>
  <si>
    <t>₹+3,009</t>
  </si>
  <si>
    <t>₹+886</t>
  </si>
  <si>
    <t>₹+794</t>
  </si>
  <si>
    <t>₹+122</t>
  </si>
  <si>
    <t>₹+2,760</t>
  </si>
  <si>
    <t>₹+690</t>
  </si>
  <si>
    <t>₹+321</t>
  </si>
  <si>
    <t>₹+92</t>
  </si>
  <si>
    <t>₹+605</t>
  </si>
  <si>
    <t>RISING ▲</t>
  </si>
  <si>
    <t>TABLE 2 — PRODUCT-WISE COPQ BREAKDOWN</t>
  </si>
  <si>
    <t>% of Total COPQ</t>
  </si>
  <si>
    <t>Priority</t>
  </si>
  <si>
    <t>CRITICAL</t>
  </si>
  <si>
    <t>Methods: ABC Classification + EOQ + ROP + Safety Stock + ARIMA  ·  Tools: Excel + Python</t>
  </si>
  <si>
    <t>TABLE 1 — MONTHLY SALES TREND BY PRODUCT</t>
  </si>
  <si>
    <t>Total Sales</t>
  </si>
  <si>
    <t>TABLE 2 — ABC INVENTORY CLASSIFICATION</t>
  </si>
  <si>
    <t>Avg Monthly Sales</t>
  </si>
  <si>
    <t>Annual Demand (est.)</t>
  </si>
  <si>
    <t>Annual Value (INR)</t>
  </si>
  <si>
    <t>% Cumulative Value</t>
  </si>
  <si>
    <t>ABC Class</t>
  </si>
  <si>
    <t>Management Priority</t>
  </si>
  <si>
    <t>₹62,064,000</t>
  </si>
  <si>
    <t>68.12%</t>
  </si>
  <si>
    <t>A</t>
  </si>
  <si>
    <t>HIGH — Monitor closely</t>
  </si>
  <si>
    <t>₹12,852,000</t>
  </si>
  <si>
    <t>82.22%</t>
  </si>
  <si>
    <t>B</t>
  </si>
  <si>
    <t>MEDIUM — Regular review</t>
  </si>
  <si>
    <t>₹9,600,000</t>
  </si>
  <si>
    <t>92.76%</t>
  </si>
  <si>
    <t>C</t>
  </si>
  <si>
    <t>LOW — Simplified control</t>
  </si>
  <si>
    <t>₹3,226,200</t>
  </si>
  <si>
    <t>96.3%</t>
  </si>
  <si>
    <t>₹1,891,200</t>
  </si>
  <si>
    <t>98.37%</t>
  </si>
  <si>
    <t>₹1,128,600</t>
  </si>
  <si>
    <t>99.61%</t>
  </si>
  <si>
    <t>₹354,240</t>
  </si>
  <si>
    <t>100.0%</t>
  </si>
  <si>
    <t>TABLE 3 — STOCKOUT INCIDENTS SUMMARY</t>
  </si>
  <si>
    <t>Sales Qty</t>
  </si>
  <si>
    <t>Closing Stock</t>
  </si>
  <si>
    <t>Stockout</t>
  </si>
  <si>
    <t>Action Required</t>
  </si>
  <si>
    <t>Implement ROP &amp; Safety Stock</t>
  </si>
  <si>
    <t>Decreasing</t>
  </si>
  <si>
    <t>Increasing</t>
  </si>
  <si>
    <t xml:space="preserve"> Decreasing</t>
  </si>
  <si>
    <t xml:space="preserve"> Increasing</t>
  </si>
  <si>
    <t xml:space="preserve">Upward Trend </t>
  </si>
  <si>
    <t>Medical Equipment Firm - Raw Data | Jan 2025 to May 2026</t>
  </si>
  <si>
    <t>Medical Equipment Firm — Metadata | Data Dictionary &amp; Variable Description</t>
  </si>
  <si>
    <t>Medical Equipment Firm — Descriptive Statistics | Jan 2025 to May 2026</t>
  </si>
  <si>
    <t>Medical Equipment Firm — Problem 1: Defect Rate Analysis | Jan 2025 to May 2026</t>
  </si>
  <si>
    <t>Medical Equipment Firm — Problem 2: Cost of Poor Quality (COPQ) Analysis | Jan 2025 to May 2026</t>
  </si>
  <si>
    <t>Medical Equipment Firm — Problem 3: Inventory Analysis | Jan 2025 to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</si>
</sst>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AAAAAA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9"/>
      <color rgb="FF000000"/>
      <name val="Arial"/>
    </font>
    <font>
      <i/>
      <sz val="8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3C3C3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534AB7"/>
      </patternFill>
    </fill>
    <fill>
      <patternFill patternType="solid">
        <fgColor rgb="FF0F6E56"/>
      </patternFill>
    </fill>
    <fill>
      <patternFill patternType="solid">
        <fgColor rgb="FF993C1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2"/>
  <sheetViews>
    <sheetView workbookViewId="0">
      <pane ySplit="3" topLeftCell="A4" activePane="bottomLeft" state="frozen"/>
      <selection pane="bottomLeft" sqref="A1:O1"/>
    </sheetView>
  </sheetViews>
  <sheetFormatPr defaultRowHeight="14.25" x14ac:dyDescent="0.45"/>
  <cols>
    <col min="1" max="1" width="5.9296875" bestFit="1" customWidth="1"/>
    <col min="2" max="2" width="15" bestFit="1" customWidth="1"/>
    <col min="3" max="3" width="12" customWidth="1"/>
    <col min="4" max="4" width="13.06640625" bestFit="1" customWidth="1"/>
    <col min="5" max="5" width="12.19921875" bestFit="1" customWidth="1"/>
    <col min="6" max="6" width="15" bestFit="1" customWidth="1"/>
    <col min="7" max="7" width="11.86328125" bestFit="1" customWidth="1"/>
    <col min="8" max="8" width="14.53125" bestFit="1" customWidth="1"/>
    <col min="9" max="9" width="13.19921875" bestFit="1" customWidth="1"/>
    <col min="10" max="10" width="18.3984375" bestFit="1" customWidth="1"/>
    <col min="11" max="11" width="12.46484375" bestFit="1" customWidth="1"/>
    <col min="12" max="12" width="8.33203125" bestFit="1" customWidth="1"/>
    <col min="13" max="13" width="11.86328125" bestFit="1" customWidth="1"/>
    <col min="14" max="14" width="10.265625" bestFit="1" customWidth="1"/>
    <col min="15" max="15" width="14.73046875" bestFit="1" customWidth="1"/>
  </cols>
  <sheetData>
    <row r="1" spans="1:15" ht="27.75" customHeight="1" x14ac:dyDescent="0.45">
      <c r="A1" s="17" t="s">
        <v>363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" customHeight="1" x14ac:dyDescent="0.45"/>
    <row r="3" spans="1:15" ht="18" customHeight="1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 ht="15" customHeight="1" x14ac:dyDescent="0.45">
      <c r="A4" s="2" t="s">
        <v>15</v>
      </c>
      <c r="B4" s="2" t="s">
        <v>16</v>
      </c>
      <c r="C4" s="2" t="s">
        <v>17</v>
      </c>
      <c r="D4" s="2">
        <v>800</v>
      </c>
      <c r="E4" s="2">
        <v>8</v>
      </c>
      <c r="F4" s="2" t="s">
        <v>18</v>
      </c>
      <c r="G4" s="2">
        <v>450</v>
      </c>
      <c r="H4" s="2">
        <v>540</v>
      </c>
      <c r="I4" s="2">
        <v>288</v>
      </c>
      <c r="J4" s="2">
        <v>3.2</v>
      </c>
      <c r="K4" s="2">
        <v>300</v>
      </c>
      <c r="L4" s="2">
        <v>165</v>
      </c>
      <c r="M4" s="2">
        <v>927</v>
      </c>
      <c r="N4" s="2">
        <v>500</v>
      </c>
      <c r="O4" s="2" t="s">
        <v>19</v>
      </c>
    </row>
    <row r="5" spans="1:15" ht="15" customHeight="1" x14ac:dyDescent="0.45">
      <c r="A5" s="3" t="s">
        <v>15</v>
      </c>
      <c r="B5" s="3" t="s">
        <v>20</v>
      </c>
      <c r="C5" s="3" t="s">
        <v>17</v>
      </c>
      <c r="D5" s="3">
        <v>920</v>
      </c>
      <c r="E5" s="3">
        <v>11</v>
      </c>
      <c r="F5" s="3" t="s">
        <v>21</v>
      </c>
      <c r="G5" s="3">
        <v>120</v>
      </c>
      <c r="H5" s="3">
        <v>220</v>
      </c>
      <c r="I5" s="3">
        <v>110</v>
      </c>
      <c r="J5" s="3">
        <v>4.4000000000000004</v>
      </c>
      <c r="K5" s="3">
        <v>340</v>
      </c>
      <c r="L5" s="3">
        <v>202</v>
      </c>
      <c r="M5" s="3">
        <v>1047</v>
      </c>
      <c r="N5" s="3">
        <v>600</v>
      </c>
      <c r="O5" s="3" t="s">
        <v>19</v>
      </c>
    </row>
    <row r="6" spans="1:15" ht="15" customHeight="1" x14ac:dyDescent="0.45">
      <c r="A6" s="2" t="s">
        <v>15</v>
      </c>
      <c r="B6" s="2" t="s">
        <v>22</v>
      </c>
      <c r="C6" s="2" t="s">
        <v>23</v>
      </c>
      <c r="D6" s="2">
        <v>1040</v>
      </c>
      <c r="E6" s="2">
        <v>16</v>
      </c>
      <c r="F6" s="2" t="s">
        <v>24</v>
      </c>
      <c r="G6" s="2">
        <v>950</v>
      </c>
      <c r="H6" s="2">
        <v>2280</v>
      </c>
      <c r="I6" s="2">
        <v>1216</v>
      </c>
      <c r="J6" s="2">
        <v>6.4</v>
      </c>
      <c r="K6" s="2">
        <v>380</v>
      </c>
      <c r="L6" s="2">
        <v>239</v>
      </c>
      <c r="M6" s="2">
        <v>1165</v>
      </c>
      <c r="N6" s="2">
        <v>700</v>
      </c>
      <c r="O6" s="2" t="s">
        <v>19</v>
      </c>
    </row>
    <row r="7" spans="1:15" ht="15" customHeight="1" x14ac:dyDescent="0.45">
      <c r="A7" s="3" t="s">
        <v>15</v>
      </c>
      <c r="B7" s="3" t="s">
        <v>25</v>
      </c>
      <c r="C7" s="3" t="s">
        <v>17</v>
      </c>
      <c r="D7" s="3">
        <v>1160</v>
      </c>
      <c r="E7" s="3">
        <v>11</v>
      </c>
      <c r="F7" s="3" t="s">
        <v>26</v>
      </c>
      <c r="G7" s="3">
        <v>2500</v>
      </c>
      <c r="H7" s="3">
        <v>4125</v>
      </c>
      <c r="I7" s="3">
        <v>2200</v>
      </c>
      <c r="J7" s="3">
        <v>4.4000000000000004</v>
      </c>
      <c r="K7" s="3">
        <v>420</v>
      </c>
      <c r="L7" s="3">
        <v>276</v>
      </c>
      <c r="M7" s="3">
        <v>1293</v>
      </c>
      <c r="N7" s="3">
        <v>0</v>
      </c>
      <c r="O7" s="3" t="s">
        <v>19</v>
      </c>
    </row>
    <row r="8" spans="1:15" ht="15" customHeight="1" x14ac:dyDescent="0.45">
      <c r="A8" s="2" t="s">
        <v>15</v>
      </c>
      <c r="B8" s="2" t="s">
        <v>27</v>
      </c>
      <c r="C8" s="2" t="s">
        <v>28</v>
      </c>
      <c r="D8" s="2">
        <v>1280</v>
      </c>
      <c r="E8" s="2">
        <v>16</v>
      </c>
      <c r="F8" s="2" t="s">
        <v>29</v>
      </c>
      <c r="G8" s="2">
        <v>3000</v>
      </c>
      <c r="H8" s="2">
        <v>7200</v>
      </c>
      <c r="I8" s="2">
        <v>3840</v>
      </c>
      <c r="J8" s="2">
        <v>6.4</v>
      </c>
      <c r="K8" s="2">
        <v>460</v>
      </c>
      <c r="L8" s="2">
        <v>313</v>
      </c>
      <c r="M8" s="2">
        <v>1411</v>
      </c>
      <c r="N8" s="2">
        <v>0</v>
      </c>
      <c r="O8" s="2" t="s">
        <v>19</v>
      </c>
    </row>
    <row r="9" spans="1:15" ht="15" customHeight="1" x14ac:dyDescent="0.45">
      <c r="A9" s="3" t="s">
        <v>15</v>
      </c>
      <c r="B9" s="3" t="s">
        <v>30</v>
      </c>
      <c r="C9" s="3" t="s">
        <v>31</v>
      </c>
      <c r="D9" s="3">
        <v>1400</v>
      </c>
      <c r="E9" s="3">
        <v>22</v>
      </c>
      <c r="F9" s="3" t="s">
        <v>32</v>
      </c>
      <c r="G9" s="3">
        <v>400</v>
      </c>
      <c r="H9" s="3">
        <v>1320</v>
      </c>
      <c r="I9" s="3">
        <v>704</v>
      </c>
      <c r="J9" s="3">
        <v>8.8000000000000007</v>
      </c>
      <c r="K9" s="3">
        <v>500</v>
      </c>
      <c r="L9" s="3">
        <v>350</v>
      </c>
      <c r="M9" s="3">
        <v>1528</v>
      </c>
      <c r="N9" s="3">
        <v>0</v>
      </c>
      <c r="O9" s="3" t="s">
        <v>19</v>
      </c>
    </row>
    <row r="10" spans="1:15" ht="15" customHeight="1" x14ac:dyDescent="0.45">
      <c r="A10" s="2" t="s">
        <v>15</v>
      </c>
      <c r="B10" s="2" t="s">
        <v>33</v>
      </c>
      <c r="C10" s="2" t="s">
        <v>34</v>
      </c>
      <c r="D10" s="2">
        <v>1520</v>
      </c>
      <c r="E10" s="2">
        <v>15</v>
      </c>
      <c r="F10" s="2" t="s">
        <v>18</v>
      </c>
      <c r="G10" s="2">
        <v>12000</v>
      </c>
      <c r="H10" s="2">
        <v>27000</v>
      </c>
      <c r="I10" s="2">
        <v>14400</v>
      </c>
      <c r="J10" s="2">
        <v>6</v>
      </c>
      <c r="K10" s="2">
        <v>540</v>
      </c>
      <c r="L10" s="2">
        <v>387</v>
      </c>
      <c r="M10" s="2">
        <v>1658</v>
      </c>
      <c r="N10" s="2">
        <v>0</v>
      </c>
      <c r="O10" s="2" t="s">
        <v>19</v>
      </c>
    </row>
    <row r="11" spans="1:15" ht="15" customHeight="1" x14ac:dyDescent="0.45">
      <c r="A11" s="3" t="s">
        <v>35</v>
      </c>
      <c r="B11" s="3" t="s">
        <v>16</v>
      </c>
      <c r="C11" s="3" t="s">
        <v>36</v>
      </c>
      <c r="D11" s="3">
        <v>815</v>
      </c>
      <c r="E11" s="3">
        <v>8</v>
      </c>
      <c r="F11" s="3" t="s">
        <v>21</v>
      </c>
      <c r="G11" s="3">
        <v>450</v>
      </c>
      <c r="H11" s="3">
        <v>540</v>
      </c>
      <c r="I11" s="3">
        <v>288</v>
      </c>
      <c r="J11" s="3">
        <v>3.2</v>
      </c>
      <c r="K11" s="3">
        <v>310</v>
      </c>
      <c r="L11" s="3">
        <v>170</v>
      </c>
      <c r="M11" s="3">
        <v>947</v>
      </c>
      <c r="N11" s="3">
        <v>500</v>
      </c>
      <c r="O11" s="3" t="s">
        <v>19</v>
      </c>
    </row>
    <row r="12" spans="1:15" ht="15" customHeight="1" x14ac:dyDescent="0.45">
      <c r="A12" s="2" t="s">
        <v>35</v>
      </c>
      <c r="B12" s="2" t="s">
        <v>20</v>
      </c>
      <c r="C12" s="2" t="s">
        <v>36</v>
      </c>
      <c r="D12" s="2">
        <v>935</v>
      </c>
      <c r="E12" s="2">
        <v>12</v>
      </c>
      <c r="F12" s="2" t="s">
        <v>24</v>
      </c>
      <c r="G12" s="2">
        <v>120</v>
      </c>
      <c r="H12" s="2">
        <v>240</v>
      </c>
      <c r="I12" s="2">
        <v>120</v>
      </c>
      <c r="J12" s="2">
        <v>4.8</v>
      </c>
      <c r="K12" s="2">
        <v>350</v>
      </c>
      <c r="L12" s="2">
        <v>207</v>
      </c>
      <c r="M12" s="2">
        <v>1066</v>
      </c>
      <c r="N12" s="2">
        <v>600</v>
      </c>
      <c r="O12" s="2" t="s">
        <v>19</v>
      </c>
    </row>
    <row r="13" spans="1:15" ht="15" customHeight="1" x14ac:dyDescent="0.45">
      <c r="A13" s="3" t="s">
        <v>35</v>
      </c>
      <c r="B13" s="3" t="s">
        <v>22</v>
      </c>
      <c r="C13" s="3" t="s">
        <v>37</v>
      </c>
      <c r="D13" s="3">
        <v>1055</v>
      </c>
      <c r="E13" s="3">
        <v>16</v>
      </c>
      <c r="F13" s="3" t="s">
        <v>26</v>
      </c>
      <c r="G13" s="3">
        <v>950</v>
      </c>
      <c r="H13" s="3">
        <v>2280</v>
      </c>
      <c r="I13" s="3">
        <v>1216</v>
      </c>
      <c r="J13" s="3">
        <v>6.4</v>
      </c>
      <c r="K13" s="3">
        <v>390</v>
      </c>
      <c r="L13" s="3">
        <v>244</v>
      </c>
      <c r="M13" s="3">
        <v>1185</v>
      </c>
      <c r="N13" s="3">
        <v>700</v>
      </c>
      <c r="O13" s="3" t="s">
        <v>19</v>
      </c>
    </row>
    <row r="14" spans="1:15" ht="15" customHeight="1" x14ac:dyDescent="0.45">
      <c r="A14" s="2" t="s">
        <v>35</v>
      </c>
      <c r="B14" s="2" t="s">
        <v>25</v>
      </c>
      <c r="C14" s="2" t="s">
        <v>36</v>
      </c>
      <c r="D14" s="2">
        <v>1175</v>
      </c>
      <c r="E14" s="2">
        <v>11</v>
      </c>
      <c r="F14" s="2" t="s">
        <v>29</v>
      </c>
      <c r="G14" s="2">
        <v>2500</v>
      </c>
      <c r="H14" s="2">
        <v>4125</v>
      </c>
      <c r="I14" s="2">
        <v>2200</v>
      </c>
      <c r="J14" s="2">
        <v>4.4000000000000004</v>
      </c>
      <c r="K14" s="2">
        <v>430</v>
      </c>
      <c r="L14" s="2">
        <v>281</v>
      </c>
      <c r="M14" s="2">
        <v>1313</v>
      </c>
      <c r="N14" s="2">
        <v>0</v>
      </c>
      <c r="O14" s="2" t="s">
        <v>19</v>
      </c>
    </row>
    <row r="15" spans="1:15" ht="15" customHeight="1" x14ac:dyDescent="0.45">
      <c r="A15" s="3" t="s">
        <v>35</v>
      </c>
      <c r="B15" s="3" t="s">
        <v>27</v>
      </c>
      <c r="C15" s="3" t="s">
        <v>38</v>
      </c>
      <c r="D15" s="3">
        <v>1295</v>
      </c>
      <c r="E15" s="3">
        <v>16</v>
      </c>
      <c r="F15" s="3" t="s">
        <v>32</v>
      </c>
      <c r="G15" s="3">
        <v>3000</v>
      </c>
      <c r="H15" s="3">
        <v>7200</v>
      </c>
      <c r="I15" s="3">
        <v>3840</v>
      </c>
      <c r="J15" s="3">
        <v>6.4</v>
      </c>
      <c r="K15" s="3">
        <v>470</v>
      </c>
      <c r="L15" s="3">
        <v>318</v>
      </c>
      <c r="M15" s="3">
        <v>1431</v>
      </c>
      <c r="N15" s="3">
        <v>0</v>
      </c>
      <c r="O15" s="3" t="s">
        <v>19</v>
      </c>
    </row>
    <row r="16" spans="1:15" ht="15" customHeight="1" x14ac:dyDescent="0.45">
      <c r="A16" s="2" t="s">
        <v>35</v>
      </c>
      <c r="B16" s="2" t="s">
        <v>30</v>
      </c>
      <c r="C16" s="2" t="s">
        <v>39</v>
      </c>
      <c r="D16" s="2">
        <v>1415</v>
      </c>
      <c r="E16" s="2">
        <v>22</v>
      </c>
      <c r="F16" s="2" t="s">
        <v>18</v>
      </c>
      <c r="G16" s="2">
        <v>400</v>
      </c>
      <c r="H16" s="2">
        <v>1320</v>
      </c>
      <c r="I16" s="2">
        <v>704</v>
      </c>
      <c r="J16" s="2">
        <v>8.8000000000000007</v>
      </c>
      <c r="K16" s="2">
        <v>510</v>
      </c>
      <c r="L16" s="2">
        <v>355</v>
      </c>
      <c r="M16" s="2">
        <v>1548</v>
      </c>
      <c r="N16" s="2">
        <v>0</v>
      </c>
      <c r="O16" s="2" t="s">
        <v>19</v>
      </c>
    </row>
    <row r="17" spans="1:15" ht="15" customHeight="1" x14ac:dyDescent="0.45">
      <c r="A17" s="3" t="s">
        <v>35</v>
      </c>
      <c r="B17" s="3" t="s">
        <v>33</v>
      </c>
      <c r="C17" s="3" t="s">
        <v>40</v>
      </c>
      <c r="D17" s="3">
        <v>1535</v>
      </c>
      <c r="E17" s="3">
        <v>15</v>
      </c>
      <c r="F17" s="3" t="s">
        <v>21</v>
      </c>
      <c r="G17" s="3">
        <v>12000</v>
      </c>
      <c r="H17" s="3">
        <v>27000</v>
      </c>
      <c r="I17" s="3">
        <v>14400</v>
      </c>
      <c r="J17" s="3">
        <v>6</v>
      </c>
      <c r="K17" s="3">
        <v>550</v>
      </c>
      <c r="L17" s="3">
        <v>392</v>
      </c>
      <c r="M17" s="3">
        <v>1678</v>
      </c>
      <c r="N17" s="3">
        <v>0</v>
      </c>
      <c r="O17" s="3" t="s">
        <v>19</v>
      </c>
    </row>
    <row r="18" spans="1:15" ht="15" customHeight="1" x14ac:dyDescent="0.45">
      <c r="A18" s="2" t="s">
        <v>41</v>
      </c>
      <c r="B18" s="2" t="s">
        <v>16</v>
      </c>
      <c r="C18" s="2" t="s">
        <v>42</v>
      </c>
      <c r="D18" s="2">
        <v>830</v>
      </c>
      <c r="E18" s="2">
        <v>8</v>
      </c>
      <c r="F18" s="2" t="s">
        <v>24</v>
      </c>
      <c r="G18" s="2">
        <v>450</v>
      </c>
      <c r="H18" s="2">
        <v>540</v>
      </c>
      <c r="I18" s="2">
        <v>288</v>
      </c>
      <c r="J18" s="2">
        <v>3.2</v>
      </c>
      <c r="K18" s="2">
        <v>320</v>
      </c>
      <c r="L18" s="2">
        <v>176</v>
      </c>
      <c r="M18" s="2">
        <v>966</v>
      </c>
      <c r="N18" s="2">
        <v>500</v>
      </c>
      <c r="O18" s="2" t="s">
        <v>19</v>
      </c>
    </row>
    <row r="19" spans="1:15" ht="15" customHeight="1" x14ac:dyDescent="0.45">
      <c r="A19" s="3" t="s">
        <v>41</v>
      </c>
      <c r="B19" s="3" t="s">
        <v>20</v>
      </c>
      <c r="C19" s="3" t="s">
        <v>42</v>
      </c>
      <c r="D19" s="3">
        <v>950</v>
      </c>
      <c r="E19" s="3">
        <v>12</v>
      </c>
      <c r="F19" s="3" t="s">
        <v>26</v>
      </c>
      <c r="G19" s="3">
        <v>120</v>
      </c>
      <c r="H19" s="3">
        <v>240</v>
      </c>
      <c r="I19" s="3">
        <v>120</v>
      </c>
      <c r="J19" s="3">
        <v>4.8</v>
      </c>
      <c r="K19" s="3">
        <v>360</v>
      </c>
      <c r="L19" s="3">
        <v>213</v>
      </c>
      <c r="M19" s="3">
        <v>1085</v>
      </c>
      <c r="N19" s="3">
        <v>600</v>
      </c>
      <c r="O19" s="3" t="s">
        <v>19</v>
      </c>
    </row>
    <row r="20" spans="1:15" ht="15" customHeight="1" x14ac:dyDescent="0.45">
      <c r="A20" s="2" t="s">
        <v>41</v>
      </c>
      <c r="B20" s="2" t="s">
        <v>22</v>
      </c>
      <c r="C20" s="2" t="s">
        <v>43</v>
      </c>
      <c r="D20" s="2">
        <v>1070</v>
      </c>
      <c r="E20" s="2">
        <v>17</v>
      </c>
      <c r="F20" s="2" t="s">
        <v>29</v>
      </c>
      <c r="G20" s="2">
        <v>950</v>
      </c>
      <c r="H20" s="2">
        <v>2422</v>
      </c>
      <c r="I20" s="2">
        <v>1292</v>
      </c>
      <c r="J20" s="2">
        <v>6.8</v>
      </c>
      <c r="K20" s="2">
        <v>400</v>
      </c>
      <c r="L20" s="2">
        <v>250</v>
      </c>
      <c r="M20" s="2">
        <v>1203</v>
      </c>
      <c r="N20" s="2">
        <v>0</v>
      </c>
      <c r="O20" s="2" t="s">
        <v>19</v>
      </c>
    </row>
    <row r="21" spans="1:15" ht="15" customHeight="1" x14ac:dyDescent="0.45">
      <c r="A21" s="3" t="s">
        <v>41</v>
      </c>
      <c r="B21" s="3" t="s">
        <v>25</v>
      </c>
      <c r="C21" s="3" t="s">
        <v>42</v>
      </c>
      <c r="D21" s="3">
        <v>1190</v>
      </c>
      <c r="E21" s="3">
        <v>11</v>
      </c>
      <c r="F21" s="3" t="s">
        <v>32</v>
      </c>
      <c r="G21" s="3">
        <v>2500</v>
      </c>
      <c r="H21" s="3">
        <v>4125</v>
      </c>
      <c r="I21" s="3">
        <v>2200</v>
      </c>
      <c r="J21" s="3">
        <v>4.4000000000000004</v>
      </c>
      <c r="K21" s="3">
        <v>440</v>
      </c>
      <c r="L21" s="3">
        <v>287</v>
      </c>
      <c r="M21" s="3">
        <v>1332</v>
      </c>
      <c r="N21" s="3">
        <v>0</v>
      </c>
      <c r="O21" s="3" t="s">
        <v>19</v>
      </c>
    </row>
    <row r="22" spans="1:15" ht="15" customHeight="1" x14ac:dyDescent="0.45">
      <c r="A22" s="2" t="s">
        <v>41</v>
      </c>
      <c r="B22" s="2" t="s">
        <v>27</v>
      </c>
      <c r="C22" s="2" t="s">
        <v>44</v>
      </c>
      <c r="D22" s="2">
        <v>1310</v>
      </c>
      <c r="E22" s="2">
        <v>17</v>
      </c>
      <c r="F22" s="2" t="s">
        <v>18</v>
      </c>
      <c r="G22" s="2">
        <v>3000</v>
      </c>
      <c r="H22" s="2">
        <v>7650</v>
      </c>
      <c r="I22" s="2">
        <v>4080</v>
      </c>
      <c r="J22" s="2">
        <v>6.8</v>
      </c>
      <c r="K22" s="2">
        <v>480</v>
      </c>
      <c r="L22" s="2">
        <v>324</v>
      </c>
      <c r="M22" s="2">
        <v>1449</v>
      </c>
      <c r="N22" s="2">
        <v>0</v>
      </c>
      <c r="O22" s="2" t="s">
        <v>19</v>
      </c>
    </row>
    <row r="23" spans="1:15" ht="15" customHeight="1" x14ac:dyDescent="0.45">
      <c r="A23" s="3" t="s">
        <v>41</v>
      </c>
      <c r="B23" s="3" t="s">
        <v>30</v>
      </c>
      <c r="C23" s="3" t="s">
        <v>45</v>
      </c>
      <c r="D23" s="3">
        <v>1430</v>
      </c>
      <c r="E23" s="3">
        <v>22</v>
      </c>
      <c r="F23" s="3" t="s">
        <v>21</v>
      </c>
      <c r="G23" s="3">
        <v>400</v>
      </c>
      <c r="H23" s="3">
        <v>1320</v>
      </c>
      <c r="I23" s="3">
        <v>704</v>
      </c>
      <c r="J23" s="3">
        <v>8.8000000000000007</v>
      </c>
      <c r="K23" s="3">
        <v>520</v>
      </c>
      <c r="L23" s="3">
        <v>361</v>
      </c>
      <c r="M23" s="3">
        <v>1567</v>
      </c>
      <c r="N23" s="3">
        <v>0</v>
      </c>
      <c r="O23" s="3" t="s">
        <v>19</v>
      </c>
    </row>
    <row r="24" spans="1:15" ht="15" customHeight="1" x14ac:dyDescent="0.45">
      <c r="A24" s="2" t="s">
        <v>41</v>
      </c>
      <c r="B24" s="2" t="s">
        <v>33</v>
      </c>
      <c r="C24" s="2" t="s">
        <v>46</v>
      </c>
      <c r="D24" s="2">
        <v>1550</v>
      </c>
      <c r="E24" s="2">
        <v>15</v>
      </c>
      <c r="F24" s="2" t="s">
        <v>24</v>
      </c>
      <c r="G24" s="2">
        <v>12000</v>
      </c>
      <c r="H24" s="2">
        <v>27000</v>
      </c>
      <c r="I24" s="2">
        <v>14400</v>
      </c>
      <c r="J24" s="2">
        <v>6</v>
      </c>
      <c r="K24" s="2">
        <v>560</v>
      </c>
      <c r="L24" s="2">
        <v>398</v>
      </c>
      <c r="M24" s="2">
        <v>1697</v>
      </c>
      <c r="N24" s="2">
        <v>0</v>
      </c>
      <c r="O24" s="2" t="s">
        <v>19</v>
      </c>
    </row>
    <row r="25" spans="1:15" ht="15" customHeight="1" x14ac:dyDescent="0.45">
      <c r="A25" s="3" t="s">
        <v>47</v>
      </c>
      <c r="B25" s="3" t="s">
        <v>16</v>
      </c>
      <c r="C25" s="3" t="s">
        <v>48</v>
      </c>
      <c r="D25" s="3">
        <v>845</v>
      </c>
      <c r="E25" s="3">
        <v>8</v>
      </c>
      <c r="F25" s="3" t="s">
        <v>26</v>
      </c>
      <c r="G25" s="3">
        <v>450</v>
      </c>
      <c r="H25" s="3">
        <v>540</v>
      </c>
      <c r="I25" s="3">
        <v>288</v>
      </c>
      <c r="J25" s="3">
        <v>3.2</v>
      </c>
      <c r="K25" s="3">
        <v>330</v>
      </c>
      <c r="L25" s="3">
        <v>181</v>
      </c>
      <c r="M25" s="3">
        <v>986</v>
      </c>
      <c r="N25" s="3">
        <v>500</v>
      </c>
      <c r="O25" s="3" t="s">
        <v>19</v>
      </c>
    </row>
    <row r="26" spans="1:15" ht="15" customHeight="1" x14ac:dyDescent="0.45">
      <c r="A26" s="2" t="s">
        <v>47</v>
      </c>
      <c r="B26" s="2" t="s">
        <v>20</v>
      </c>
      <c r="C26" s="2" t="s">
        <v>48</v>
      </c>
      <c r="D26" s="2">
        <v>965</v>
      </c>
      <c r="E26" s="2">
        <v>12</v>
      </c>
      <c r="F26" s="2" t="s">
        <v>29</v>
      </c>
      <c r="G26" s="2">
        <v>120</v>
      </c>
      <c r="H26" s="2">
        <v>240</v>
      </c>
      <c r="I26" s="2">
        <v>120</v>
      </c>
      <c r="J26" s="2">
        <v>4.8</v>
      </c>
      <c r="K26" s="2">
        <v>370</v>
      </c>
      <c r="L26" s="2">
        <v>218</v>
      </c>
      <c r="M26" s="2">
        <v>1105</v>
      </c>
      <c r="N26" s="2">
        <v>600</v>
      </c>
      <c r="O26" s="2" t="s">
        <v>19</v>
      </c>
    </row>
    <row r="27" spans="1:15" ht="15" customHeight="1" x14ac:dyDescent="0.45">
      <c r="A27" s="3" t="s">
        <v>47</v>
      </c>
      <c r="B27" s="3" t="s">
        <v>22</v>
      </c>
      <c r="C27" s="3" t="s">
        <v>49</v>
      </c>
      <c r="D27" s="3">
        <v>1085</v>
      </c>
      <c r="E27" s="3">
        <v>17</v>
      </c>
      <c r="F27" s="3" t="s">
        <v>32</v>
      </c>
      <c r="G27" s="3">
        <v>950</v>
      </c>
      <c r="H27" s="3">
        <v>2422</v>
      </c>
      <c r="I27" s="3">
        <v>1292</v>
      </c>
      <c r="J27" s="3">
        <v>6.8</v>
      </c>
      <c r="K27" s="3">
        <v>410</v>
      </c>
      <c r="L27" s="3">
        <v>255</v>
      </c>
      <c r="M27" s="3">
        <v>1223</v>
      </c>
      <c r="N27" s="3">
        <v>0</v>
      </c>
      <c r="O27" s="3" t="s">
        <v>19</v>
      </c>
    </row>
    <row r="28" spans="1:15" ht="15" customHeight="1" x14ac:dyDescent="0.45">
      <c r="A28" s="2" t="s">
        <v>47</v>
      </c>
      <c r="B28" s="2" t="s">
        <v>25</v>
      </c>
      <c r="C28" s="2" t="s">
        <v>48</v>
      </c>
      <c r="D28" s="2">
        <v>1205</v>
      </c>
      <c r="E28" s="2">
        <v>12</v>
      </c>
      <c r="F28" s="2" t="s">
        <v>18</v>
      </c>
      <c r="G28" s="2">
        <v>2500</v>
      </c>
      <c r="H28" s="2">
        <v>4500</v>
      </c>
      <c r="I28" s="2">
        <v>2400</v>
      </c>
      <c r="J28" s="2">
        <v>4.8</v>
      </c>
      <c r="K28" s="2">
        <v>450</v>
      </c>
      <c r="L28" s="2">
        <v>292</v>
      </c>
      <c r="M28" s="2">
        <v>1351</v>
      </c>
      <c r="N28" s="2">
        <v>0</v>
      </c>
      <c r="O28" s="2" t="s">
        <v>19</v>
      </c>
    </row>
    <row r="29" spans="1:15" ht="15" customHeight="1" x14ac:dyDescent="0.45">
      <c r="A29" s="3" t="s">
        <v>47</v>
      </c>
      <c r="B29" s="3" t="s">
        <v>27</v>
      </c>
      <c r="C29" s="3" t="s">
        <v>50</v>
      </c>
      <c r="D29" s="3">
        <v>1325</v>
      </c>
      <c r="E29" s="3">
        <v>17</v>
      </c>
      <c r="F29" s="3" t="s">
        <v>21</v>
      </c>
      <c r="G29" s="3">
        <v>3000</v>
      </c>
      <c r="H29" s="3">
        <v>7650</v>
      </c>
      <c r="I29" s="3">
        <v>4080</v>
      </c>
      <c r="J29" s="3">
        <v>6.8</v>
      </c>
      <c r="K29" s="3">
        <v>490</v>
      </c>
      <c r="L29" s="3">
        <v>329</v>
      </c>
      <c r="M29" s="3">
        <v>1469</v>
      </c>
      <c r="N29" s="3">
        <v>0</v>
      </c>
      <c r="O29" s="3" t="s">
        <v>19</v>
      </c>
    </row>
    <row r="30" spans="1:15" ht="15" customHeight="1" x14ac:dyDescent="0.45">
      <c r="A30" s="2" t="s">
        <v>47</v>
      </c>
      <c r="B30" s="2" t="s">
        <v>30</v>
      </c>
      <c r="C30" s="2" t="s">
        <v>51</v>
      </c>
      <c r="D30" s="2">
        <v>1445</v>
      </c>
      <c r="E30" s="2">
        <v>23</v>
      </c>
      <c r="F30" s="2" t="s">
        <v>24</v>
      </c>
      <c r="G30" s="2">
        <v>400</v>
      </c>
      <c r="H30" s="2">
        <v>1380</v>
      </c>
      <c r="I30" s="2">
        <v>736</v>
      </c>
      <c r="J30" s="2">
        <v>9.1999999999999993</v>
      </c>
      <c r="K30" s="2">
        <v>530</v>
      </c>
      <c r="L30" s="2">
        <v>366</v>
      </c>
      <c r="M30" s="2">
        <v>1586</v>
      </c>
      <c r="N30" s="2">
        <v>0</v>
      </c>
      <c r="O30" s="2" t="s">
        <v>19</v>
      </c>
    </row>
    <row r="31" spans="1:15" ht="15" customHeight="1" x14ac:dyDescent="0.45">
      <c r="A31" s="3" t="s">
        <v>47</v>
      </c>
      <c r="B31" s="3" t="s">
        <v>33</v>
      </c>
      <c r="C31" s="3" t="s">
        <v>52</v>
      </c>
      <c r="D31" s="3">
        <v>1565</v>
      </c>
      <c r="E31" s="3">
        <v>15</v>
      </c>
      <c r="F31" s="3" t="s">
        <v>26</v>
      </c>
      <c r="G31" s="3">
        <v>12000</v>
      </c>
      <c r="H31" s="3">
        <v>27000</v>
      </c>
      <c r="I31" s="3">
        <v>14400</v>
      </c>
      <c r="J31" s="3">
        <v>6</v>
      </c>
      <c r="K31" s="3">
        <v>570</v>
      </c>
      <c r="L31" s="3">
        <v>403</v>
      </c>
      <c r="M31" s="3">
        <v>1717</v>
      </c>
      <c r="N31" s="3">
        <v>0</v>
      </c>
      <c r="O31" s="3" t="s">
        <v>19</v>
      </c>
    </row>
    <row r="32" spans="1:15" ht="15" customHeight="1" x14ac:dyDescent="0.45">
      <c r="A32" s="2" t="s">
        <v>53</v>
      </c>
      <c r="B32" s="2" t="s">
        <v>16</v>
      </c>
      <c r="C32" s="2" t="s">
        <v>54</v>
      </c>
      <c r="D32" s="2">
        <v>860</v>
      </c>
      <c r="E32" s="2">
        <v>8</v>
      </c>
      <c r="F32" s="2" t="s">
        <v>29</v>
      </c>
      <c r="G32" s="2">
        <v>450</v>
      </c>
      <c r="H32" s="2">
        <v>540</v>
      </c>
      <c r="I32" s="2">
        <v>288</v>
      </c>
      <c r="J32" s="2">
        <v>3.2</v>
      </c>
      <c r="K32" s="2">
        <v>340</v>
      </c>
      <c r="L32" s="2">
        <v>187</v>
      </c>
      <c r="M32" s="2">
        <v>1005</v>
      </c>
      <c r="N32" s="2">
        <v>500</v>
      </c>
      <c r="O32" s="2" t="s">
        <v>19</v>
      </c>
    </row>
    <row r="33" spans="1:15" ht="15" customHeight="1" x14ac:dyDescent="0.45">
      <c r="A33" s="3" t="s">
        <v>53</v>
      </c>
      <c r="B33" s="3" t="s">
        <v>20</v>
      </c>
      <c r="C33" s="3" t="s">
        <v>54</v>
      </c>
      <c r="D33" s="3">
        <v>980</v>
      </c>
      <c r="E33" s="3">
        <v>12</v>
      </c>
      <c r="F33" s="3" t="s">
        <v>32</v>
      </c>
      <c r="G33" s="3">
        <v>120</v>
      </c>
      <c r="H33" s="3">
        <v>240</v>
      </c>
      <c r="I33" s="3">
        <v>120</v>
      </c>
      <c r="J33" s="3">
        <v>4.8</v>
      </c>
      <c r="K33" s="3">
        <v>380</v>
      </c>
      <c r="L33" s="3">
        <v>224</v>
      </c>
      <c r="M33" s="3">
        <v>1124</v>
      </c>
      <c r="N33" s="3">
        <v>600</v>
      </c>
      <c r="O33" s="3" t="s">
        <v>19</v>
      </c>
    </row>
    <row r="34" spans="1:15" ht="15" customHeight="1" x14ac:dyDescent="0.45">
      <c r="A34" s="2" t="s">
        <v>53</v>
      </c>
      <c r="B34" s="2" t="s">
        <v>22</v>
      </c>
      <c r="C34" s="2" t="s">
        <v>55</v>
      </c>
      <c r="D34" s="2">
        <v>1100</v>
      </c>
      <c r="E34" s="2">
        <v>17</v>
      </c>
      <c r="F34" s="2" t="s">
        <v>18</v>
      </c>
      <c r="G34" s="2">
        <v>950</v>
      </c>
      <c r="H34" s="2">
        <v>2422</v>
      </c>
      <c r="I34" s="2">
        <v>1292</v>
      </c>
      <c r="J34" s="2">
        <v>6.8</v>
      </c>
      <c r="K34" s="2">
        <v>420</v>
      </c>
      <c r="L34" s="2">
        <v>261</v>
      </c>
      <c r="M34" s="2">
        <v>1242</v>
      </c>
      <c r="N34" s="2">
        <v>0</v>
      </c>
      <c r="O34" s="2" t="s">
        <v>19</v>
      </c>
    </row>
    <row r="35" spans="1:15" ht="15" customHeight="1" x14ac:dyDescent="0.45">
      <c r="A35" s="3" t="s">
        <v>53</v>
      </c>
      <c r="B35" s="3" t="s">
        <v>25</v>
      </c>
      <c r="C35" s="3" t="s">
        <v>54</v>
      </c>
      <c r="D35" s="3">
        <v>1220</v>
      </c>
      <c r="E35" s="3">
        <v>12</v>
      </c>
      <c r="F35" s="3" t="s">
        <v>21</v>
      </c>
      <c r="G35" s="3">
        <v>2500</v>
      </c>
      <c r="H35" s="3">
        <v>4500</v>
      </c>
      <c r="I35" s="3">
        <v>2400</v>
      </c>
      <c r="J35" s="3">
        <v>4.8</v>
      </c>
      <c r="K35" s="3">
        <v>460</v>
      </c>
      <c r="L35" s="3">
        <v>298</v>
      </c>
      <c r="M35" s="3">
        <v>1370</v>
      </c>
      <c r="N35" s="3">
        <v>0</v>
      </c>
      <c r="O35" s="3" t="s">
        <v>19</v>
      </c>
    </row>
    <row r="36" spans="1:15" ht="15" customHeight="1" x14ac:dyDescent="0.45">
      <c r="A36" s="2" t="s">
        <v>53</v>
      </c>
      <c r="B36" s="2" t="s">
        <v>27</v>
      </c>
      <c r="C36" s="2" t="s">
        <v>56</v>
      </c>
      <c r="D36" s="2">
        <v>1340</v>
      </c>
      <c r="E36" s="2">
        <v>17</v>
      </c>
      <c r="F36" s="2" t="s">
        <v>24</v>
      </c>
      <c r="G36" s="2">
        <v>3000</v>
      </c>
      <c r="H36" s="2">
        <v>7650</v>
      </c>
      <c r="I36" s="2">
        <v>4080</v>
      </c>
      <c r="J36" s="2">
        <v>6.8</v>
      </c>
      <c r="K36" s="2">
        <v>500</v>
      </c>
      <c r="L36" s="2">
        <v>335</v>
      </c>
      <c r="M36" s="2">
        <v>1488</v>
      </c>
      <c r="N36" s="2">
        <v>0</v>
      </c>
      <c r="O36" s="2" t="s">
        <v>19</v>
      </c>
    </row>
    <row r="37" spans="1:15" ht="15" customHeight="1" x14ac:dyDescent="0.45">
      <c r="A37" s="3" t="s">
        <v>53</v>
      </c>
      <c r="B37" s="3" t="s">
        <v>30</v>
      </c>
      <c r="C37" s="3" t="s">
        <v>57</v>
      </c>
      <c r="D37" s="3">
        <v>1460</v>
      </c>
      <c r="E37" s="3">
        <v>23</v>
      </c>
      <c r="F37" s="3" t="s">
        <v>26</v>
      </c>
      <c r="G37" s="3">
        <v>400</v>
      </c>
      <c r="H37" s="3">
        <v>1380</v>
      </c>
      <c r="I37" s="3">
        <v>736</v>
      </c>
      <c r="J37" s="3">
        <v>9.1999999999999993</v>
      </c>
      <c r="K37" s="3">
        <v>540</v>
      </c>
      <c r="L37" s="3">
        <v>372</v>
      </c>
      <c r="M37" s="3">
        <v>1605</v>
      </c>
      <c r="N37" s="3">
        <v>0</v>
      </c>
      <c r="O37" s="3" t="s">
        <v>19</v>
      </c>
    </row>
    <row r="38" spans="1:15" ht="15" customHeight="1" x14ac:dyDescent="0.45">
      <c r="A38" s="2" t="s">
        <v>53</v>
      </c>
      <c r="B38" s="2" t="s">
        <v>33</v>
      </c>
      <c r="C38" s="2" t="s">
        <v>58</v>
      </c>
      <c r="D38" s="2">
        <v>1580</v>
      </c>
      <c r="E38" s="2">
        <v>15</v>
      </c>
      <c r="F38" s="2" t="s">
        <v>29</v>
      </c>
      <c r="G38" s="2">
        <v>12000</v>
      </c>
      <c r="H38" s="2">
        <v>27000</v>
      </c>
      <c r="I38" s="2">
        <v>14400</v>
      </c>
      <c r="J38" s="2">
        <v>6</v>
      </c>
      <c r="K38" s="2">
        <v>580</v>
      </c>
      <c r="L38" s="2">
        <v>409</v>
      </c>
      <c r="M38" s="2">
        <v>1736</v>
      </c>
      <c r="N38" s="2">
        <v>0</v>
      </c>
      <c r="O38" s="2" t="s">
        <v>19</v>
      </c>
    </row>
    <row r="39" spans="1:15" ht="15" customHeight="1" x14ac:dyDescent="0.45">
      <c r="A39" s="3" t="s">
        <v>59</v>
      </c>
      <c r="B39" s="3" t="s">
        <v>16</v>
      </c>
      <c r="C39" s="3" t="s">
        <v>60</v>
      </c>
      <c r="D39" s="3">
        <v>875</v>
      </c>
      <c r="E39" s="3">
        <v>8</v>
      </c>
      <c r="F39" s="3" t="s">
        <v>32</v>
      </c>
      <c r="G39" s="3">
        <v>450</v>
      </c>
      <c r="H39" s="3">
        <v>540</v>
      </c>
      <c r="I39" s="3">
        <v>288</v>
      </c>
      <c r="J39" s="3">
        <v>3.2</v>
      </c>
      <c r="K39" s="3">
        <v>350</v>
      </c>
      <c r="L39" s="3">
        <v>192</v>
      </c>
      <c r="M39" s="3">
        <v>1025</v>
      </c>
      <c r="N39" s="3">
        <v>500</v>
      </c>
      <c r="O39" s="3" t="s">
        <v>19</v>
      </c>
    </row>
    <row r="40" spans="1:15" ht="15" customHeight="1" x14ac:dyDescent="0.45">
      <c r="A40" s="2" t="s">
        <v>59</v>
      </c>
      <c r="B40" s="2" t="s">
        <v>20</v>
      </c>
      <c r="C40" s="2" t="s">
        <v>60</v>
      </c>
      <c r="D40" s="2">
        <v>995</v>
      </c>
      <c r="E40" s="2">
        <v>12</v>
      </c>
      <c r="F40" s="2" t="s">
        <v>18</v>
      </c>
      <c r="G40" s="2">
        <v>120</v>
      </c>
      <c r="H40" s="2">
        <v>240</v>
      </c>
      <c r="I40" s="2">
        <v>120</v>
      </c>
      <c r="J40" s="2">
        <v>4.8</v>
      </c>
      <c r="K40" s="2">
        <v>390</v>
      </c>
      <c r="L40" s="2">
        <v>229</v>
      </c>
      <c r="M40" s="2">
        <v>1144</v>
      </c>
      <c r="N40" s="2">
        <v>600</v>
      </c>
      <c r="O40" s="2" t="s">
        <v>19</v>
      </c>
    </row>
    <row r="41" spans="1:15" ht="15" customHeight="1" x14ac:dyDescent="0.45">
      <c r="A41" s="3" t="s">
        <v>59</v>
      </c>
      <c r="B41" s="3" t="s">
        <v>22</v>
      </c>
      <c r="C41" s="3" t="s">
        <v>61</v>
      </c>
      <c r="D41" s="3">
        <v>1115</v>
      </c>
      <c r="E41" s="3">
        <v>17</v>
      </c>
      <c r="F41" s="3" t="s">
        <v>21</v>
      </c>
      <c r="G41" s="3">
        <v>950</v>
      </c>
      <c r="H41" s="3">
        <v>2422</v>
      </c>
      <c r="I41" s="3">
        <v>1292</v>
      </c>
      <c r="J41" s="3">
        <v>6.8</v>
      </c>
      <c r="K41" s="3">
        <v>430</v>
      </c>
      <c r="L41" s="3">
        <v>266</v>
      </c>
      <c r="M41" s="3">
        <v>1262</v>
      </c>
      <c r="N41" s="3">
        <v>0</v>
      </c>
      <c r="O41" s="3" t="s">
        <v>19</v>
      </c>
    </row>
    <row r="42" spans="1:15" ht="15" customHeight="1" x14ac:dyDescent="0.45">
      <c r="A42" s="2" t="s">
        <v>59</v>
      </c>
      <c r="B42" s="2" t="s">
        <v>25</v>
      </c>
      <c r="C42" s="2" t="s">
        <v>60</v>
      </c>
      <c r="D42" s="2">
        <v>1235</v>
      </c>
      <c r="E42" s="2">
        <v>12</v>
      </c>
      <c r="F42" s="2" t="s">
        <v>24</v>
      </c>
      <c r="G42" s="2">
        <v>2500</v>
      </c>
      <c r="H42" s="2">
        <v>4500</v>
      </c>
      <c r="I42" s="2">
        <v>2400</v>
      </c>
      <c r="J42" s="2">
        <v>4.8</v>
      </c>
      <c r="K42" s="2">
        <v>470</v>
      </c>
      <c r="L42" s="2">
        <v>303</v>
      </c>
      <c r="M42" s="2">
        <v>1390</v>
      </c>
      <c r="N42" s="2">
        <v>0</v>
      </c>
      <c r="O42" s="2" t="s">
        <v>19</v>
      </c>
    </row>
    <row r="43" spans="1:15" ht="15" customHeight="1" x14ac:dyDescent="0.45">
      <c r="A43" s="3" t="s">
        <v>59</v>
      </c>
      <c r="B43" s="3" t="s">
        <v>27</v>
      </c>
      <c r="C43" s="3" t="s">
        <v>62</v>
      </c>
      <c r="D43" s="3">
        <v>1355</v>
      </c>
      <c r="E43" s="3">
        <v>17</v>
      </c>
      <c r="F43" s="3" t="s">
        <v>26</v>
      </c>
      <c r="G43" s="3">
        <v>3000</v>
      </c>
      <c r="H43" s="3">
        <v>7650</v>
      </c>
      <c r="I43" s="3">
        <v>4080</v>
      </c>
      <c r="J43" s="3">
        <v>6.8</v>
      </c>
      <c r="K43" s="3">
        <v>510</v>
      </c>
      <c r="L43" s="3">
        <v>340</v>
      </c>
      <c r="M43" s="3">
        <v>1508</v>
      </c>
      <c r="N43" s="3">
        <v>0</v>
      </c>
      <c r="O43" s="3" t="s">
        <v>19</v>
      </c>
    </row>
    <row r="44" spans="1:15" ht="15" customHeight="1" x14ac:dyDescent="0.45">
      <c r="A44" s="2" t="s">
        <v>59</v>
      </c>
      <c r="B44" s="2" t="s">
        <v>30</v>
      </c>
      <c r="C44" s="2" t="s">
        <v>63</v>
      </c>
      <c r="D44" s="2">
        <v>1475</v>
      </c>
      <c r="E44" s="2">
        <v>23</v>
      </c>
      <c r="F44" s="2" t="s">
        <v>29</v>
      </c>
      <c r="G44" s="2">
        <v>400</v>
      </c>
      <c r="H44" s="2">
        <v>1380</v>
      </c>
      <c r="I44" s="2">
        <v>736</v>
      </c>
      <c r="J44" s="2">
        <v>9.1999999999999993</v>
      </c>
      <c r="K44" s="2">
        <v>550</v>
      </c>
      <c r="L44" s="2">
        <v>377</v>
      </c>
      <c r="M44" s="2">
        <v>1625</v>
      </c>
      <c r="N44" s="2">
        <v>0</v>
      </c>
      <c r="O44" s="2" t="s">
        <v>19</v>
      </c>
    </row>
    <row r="45" spans="1:15" ht="15" customHeight="1" x14ac:dyDescent="0.45">
      <c r="A45" s="3" t="s">
        <v>59</v>
      </c>
      <c r="B45" s="3" t="s">
        <v>33</v>
      </c>
      <c r="C45" s="3" t="s">
        <v>64</v>
      </c>
      <c r="D45" s="3">
        <v>1595</v>
      </c>
      <c r="E45" s="3">
        <v>15</v>
      </c>
      <c r="F45" s="3" t="s">
        <v>32</v>
      </c>
      <c r="G45" s="3">
        <v>12000</v>
      </c>
      <c r="H45" s="3">
        <v>27000</v>
      </c>
      <c r="I45" s="3">
        <v>14400</v>
      </c>
      <c r="J45" s="3">
        <v>6</v>
      </c>
      <c r="K45" s="3">
        <v>590</v>
      </c>
      <c r="L45" s="3">
        <v>414</v>
      </c>
      <c r="M45" s="3">
        <v>1756</v>
      </c>
      <c r="N45" s="3">
        <v>0</v>
      </c>
      <c r="O45" s="3" t="s">
        <v>19</v>
      </c>
    </row>
    <row r="46" spans="1:15" ht="15" customHeight="1" x14ac:dyDescent="0.45">
      <c r="A46" s="2" t="s">
        <v>65</v>
      </c>
      <c r="B46" s="2" t="s">
        <v>16</v>
      </c>
      <c r="C46" s="2" t="s">
        <v>66</v>
      </c>
      <c r="D46" s="2">
        <v>890</v>
      </c>
      <c r="E46" s="2">
        <v>8</v>
      </c>
      <c r="F46" s="2" t="s">
        <v>18</v>
      </c>
      <c r="G46" s="2">
        <v>450</v>
      </c>
      <c r="H46" s="2">
        <v>540</v>
      </c>
      <c r="I46" s="2">
        <v>288</v>
      </c>
      <c r="J46" s="2">
        <v>3.2</v>
      </c>
      <c r="K46" s="2">
        <v>360</v>
      </c>
      <c r="L46" s="2">
        <v>198</v>
      </c>
      <c r="M46" s="2">
        <v>1044</v>
      </c>
      <c r="N46" s="2">
        <v>500</v>
      </c>
      <c r="O46" s="2" t="s">
        <v>19</v>
      </c>
    </row>
    <row r="47" spans="1:15" ht="15" customHeight="1" x14ac:dyDescent="0.45">
      <c r="A47" s="3" t="s">
        <v>65</v>
      </c>
      <c r="B47" s="3" t="s">
        <v>20</v>
      </c>
      <c r="C47" s="3" t="s">
        <v>66</v>
      </c>
      <c r="D47" s="3">
        <v>1010</v>
      </c>
      <c r="E47" s="3">
        <v>13</v>
      </c>
      <c r="F47" s="3" t="s">
        <v>21</v>
      </c>
      <c r="G47" s="3">
        <v>120</v>
      </c>
      <c r="H47" s="3">
        <v>260</v>
      </c>
      <c r="I47" s="3">
        <v>130</v>
      </c>
      <c r="J47" s="3">
        <v>5.2</v>
      </c>
      <c r="K47" s="3">
        <v>400</v>
      </c>
      <c r="L47" s="3">
        <v>235</v>
      </c>
      <c r="M47" s="3">
        <v>1162</v>
      </c>
      <c r="N47" s="3">
        <v>600</v>
      </c>
      <c r="O47" s="3" t="s">
        <v>67</v>
      </c>
    </row>
    <row r="48" spans="1:15" ht="15" customHeight="1" x14ac:dyDescent="0.45">
      <c r="A48" s="2" t="s">
        <v>65</v>
      </c>
      <c r="B48" s="2" t="s">
        <v>22</v>
      </c>
      <c r="C48" s="2" t="s">
        <v>68</v>
      </c>
      <c r="D48" s="2">
        <v>1130</v>
      </c>
      <c r="E48" s="2">
        <v>18</v>
      </c>
      <c r="F48" s="2" t="s">
        <v>24</v>
      </c>
      <c r="G48" s="2">
        <v>950</v>
      </c>
      <c r="H48" s="2">
        <v>2565</v>
      </c>
      <c r="I48" s="2">
        <v>1368</v>
      </c>
      <c r="J48" s="2">
        <v>7.2</v>
      </c>
      <c r="K48" s="2">
        <v>440</v>
      </c>
      <c r="L48" s="2">
        <v>272</v>
      </c>
      <c r="M48" s="2">
        <v>1280</v>
      </c>
      <c r="N48" s="2">
        <v>0</v>
      </c>
      <c r="O48" s="2" t="s">
        <v>19</v>
      </c>
    </row>
    <row r="49" spans="1:15" ht="15" customHeight="1" x14ac:dyDescent="0.45">
      <c r="A49" s="3" t="s">
        <v>65</v>
      </c>
      <c r="B49" s="3" t="s">
        <v>25</v>
      </c>
      <c r="C49" s="3" t="s">
        <v>66</v>
      </c>
      <c r="D49" s="3">
        <v>1250</v>
      </c>
      <c r="E49" s="3">
        <v>12</v>
      </c>
      <c r="F49" s="3" t="s">
        <v>26</v>
      </c>
      <c r="G49" s="3">
        <v>2500</v>
      </c>
      <c r="H49" s="3">
        <v>4500</v>
      </c>
      <c r="I49" s="3">
        <v>2400</v>
      </c>
      <c r="J49" s="3">
        <v>4.8</v>
      </c>
      <c r="K49" s="3">
        <v>480</v>
      </c>
      <c r="L49" s="3">
        <v>309</v>
      </c>
      <c r="M49" s="3">
        <v>1409</v>
      </c>
      <c r="N49" s="3">
        <v>0</v>
      </c>
      <c r="O49" s="3" t="s">
        <v>19</v>
      </c>
    </row>
    <row r="50" spans="1:15" ht="15" customHeight="1" x14ac:dyDescent="0.45">
      <c r="A50" s="2" t="s">
        <v>65</v>
      </c>
      <c r="B50" s="2" t="s">
        <v>27</v>
      </c>
      <c r="C50" s="2" t="s">
        <v>69</v>
      </c>
      <c r="D50" s="2">
        <v>1370</v>
      </c>
      <c r="E50" s="2">
        <v>17</v>
      </c>
      <c r="F50" s="2" t="s">
        <v>29</v>
      </c>
      <c r="G50" s="2">
        <v>3000</v>
      </c>
      <c r="H50" s="2">
        <v>7650</v>
      </c>
      <c r="I50" s="2">
        <v>4080</v>
      </c>
      <c r="J50" s="2">
        <v>6.8</v>
      </c>
      <c r="K50" s="2">
        <v>520</v>
      </c>
      <c r="L50" s="2">
        <v>346</v>
      </c>
      <c r="M50" s="2">
        <v>1527</v>
      </c>
      <c r="N50" s="2">
        <v>0</v>
      </c>
      <c r="O50" s="2" t="s">
        <v>19</v>
      </c>
    </row>
    <row r="51" spans="1:15" ht="15" customHeight="1" x14ac:dyDescent="0.45">
      <c r="A51" s="3" t="s">
        <v>65</v>
      </c>
      <c r="B51" s="3" t="s">
        <v>30</v>
      </c>
      <c r="C51" s="3" t="s">
        <v>70</v>
      </c>
      <c r="D51" s="3">
        <v>1490</v>
      </c>
      <c r="E51" s="3">
        <v>23</v>
      </c>
      <c r="F51" s="3" t="s">
        <v>32</v>
      </c>
      <c r="G51" s="3">
        <v>400</v>
      </c>
      <c r="H51" s="3">
        <v>1380</v>
      </c>
      <c r="I51" s="3">
        <v>736</v>
      </c>
      <c r="J51" s="3">
        <v>9.1999999999999993</v>
      </c>
      <c r="K51" s="3">
        <v>560</v>
      </c>
      <c r="L51" s="3">
        <v>383</v>
      </c>
      <c r="M51" s="3">
        <v>1644</v>
      </c>
      <c r="N51" s="3">
        <v>0</v>
      </c>
      <c r="O51" s="3" t="s">
        <v>19</v>
      </c>
    </row>
    <row r="52" spans="1:15" ht="15" customHeight="1" x14ac:dyDescent="0.45">
      <c r="A52" s="2" t="s">
        <v>65</v>
      </c>
      <c r="B52" s="2" t="s">
        <v>33</v>
      </c>
      <c r="C52" s="2" t="s">
        <v>71</v>
      </c>
      <c r="D52" s="2">
        <v>1610</v>
      </c>
      <c r="E52" s="2">
        <v>16</v>
      </c>
      <c r="F52" s="2" t="s">
        <v>18</v>
      </c>
      <c r="G52" s="2">
        <v>12000</v>
      </c>
      <c r="H52" s="2">
        <v>28800</v>
      </c>
      <c r="I52" s="2">
        <v>15360</v>
      </c>
      <c r="J52" s="2">
        <v>6.4</v>
      </c>
      <c r="K52" s="2">
        <v>600</v>
      </c>
      <c r="L52" s="2">
        <v>420</v>
      </c>
      <c r="M52" s="2">
        <v>1774</v>
      </c>
      <c r="N52" s="2">
        <v>0</v>
      </c>
      <c r="O52" s="2" t="s">
        <v>19</v>
      </c>
    </row>
    <row r="53" spans="1:15" ht="15" customHeight="1" x14ac:dyDescent="0.45">
      <c r="A53" s="3" t="s">
        <v>72</v>
      </c>
      <c r="B53" s="3" t="s">
        <v>16</v>
      </c>
      <c r="C53" s="3" t="s">
        <v>73</v>
      </c>
      <c r="D53" s="3">
        <v>905</v>
      </c>
      <c r="E53" s="3">
        <v>9</v>
      </c>
      <c r="F53" s="3" t="s">
        <v>21</v>
      </c>
      <c r="G53" s="3">
        <v>450</v>
      </c>
      <c r="H53" s="3">
        <v>608</v>
      </c>
      <c r="I53" s="3">
        <v>324</v>
      </c>
      <c r="J53" s="3">
        <v>3.6</v>
      </c>
      <c r="K53" s="3">
        <v>370</v>
      </c>
      <c r="L53" s="3">
        <v>203</v>
      </c>
      <c r="M53" s="3">
        <v>1063</v>
      </c>
      <c r="N53" s="3">
        <v>500</v>
      </c>
      <c r="O53" s="3" t="s">
        <v>19</v>
      </c>
    </row>
    <row r="54" spans="1:15" ht="15" customHeight="1" x14ac:dyDescent="0.45">
      <c r="A54" s="2" t="s">
        <v>72</v>
      </c>
      <c r="B54" s="2" t="s">
        <v>20</v>
      </c>
      <c r="C54" s="2" t="s">
        <v>73</v>
      </c>
      <c r="D54" s="2">
        <v>1025</v>
      </c>
      <c r="E54" s="2">
        <v>13</v>
      </c>
      <c r="F54" s="2" t="s">
        <v>24</v>
      </c>
      <c r="G54" s="2">
        <v>120</v>
      </c>
      <c r="H54" s="2">
        <v>260</v>
      </c>
      <c r="I54" s="2">
        <v>130</v>
      </c>
      <c r="J54" s="2">
        <v>5.2</v>
      </c>
      <c r="K54" s="2">
        <v>410</v>
      </c>
      <c r="L54" s="2">
        <v>240</v>
      </c>
      <c r="M54" s="2">
        <v>1182</v>
      </c>
      <c r="N54" s="2">
        <v>600</v>
      </c>
      <c r="O54" s="2" t="s">
        <v>19</v>
      </c>
    </row>
    <row r="55" spans="1:15" ht="15" customHeight="1" x14ac:dyDescent="0.45">
      <c r="A55" s="3" t="s">
        <v>72</v>
      </c>
      <c r="B55" s="3" t="s">
        <v>22</v>
      </c>
      <c r="C55" s="3" t="s">
        <v>74</v>
      </c>
      <c r="D55" s="3">
        <v>1145</v>
      </c>
      <c r="E55" s="3">
        <v>18</v>
      </c>
      <c r="F55" s="3" t="s">
        <v>26</v>
      </c>
      <c r="G55" s="3">
        <v>950</v>
      </c>
      <c r="H55" s="3">
        <v>2565</v>
      </c>
      <c r="I55" s="3">
        <v>1368</v>
      </c>
      <c r="J55" s="3">
        <v>7.2</v>
      </c>
      <c r="K55" s="3">
        <v>450</v>
      </c>
      <c r="L55" s="3">
        <v>277</v>
      </c>
      <c r="M55" s="3">
        <v>1300</v>
      </c>
      <c r="N55" s="3">
        <v>0</v>
      </c>
      <c r="O55" s="3" t="s">
        <v>19</v>
      </c>
    </row>
    <row r="56" spans="1:15" ht="15" customHeight="1" x14ac:dyDescent="0.45">
      <c r="A56" s="2" t="s">
        <v>72</v>
      </c>
      <c r="B56" s="2" t="s">
        <v>25</v>
      </c>
      <c r="C56" s="2" t="s">
        <v>73</v>
      </c>
      <c r="D56" s="2">
        <v>1265</v>
      </c>
      <c r="E56" s="2">
        <v>12</v>
      </c>
      <c r="F56" s="2" t="s">
        <v>29</v>
      </c>
      <c r="G56" s="2">
        <v>2500</v>
      </c>
      <c r="H56" s="2">
        <v>4500</v>
      </c>
      <c r="I56" s="2">
        <v>2400</v>
      </c>
      <c r="J56" s="2">
        <v>4.8</v>
      </c>
      <c r="K56" s="2">
        <v>490</v>
      </c>
      <c r="L56" s="2">
        <v>314</v>
      </c>
      <c r="M56" s="2">
        <v>1429</v>
      </c>
      <c r="N56" s="2">
        <v>0</v>
      </c>
      <c r="O56" s="2" t="s">
        <v>19</v>
      </c>
    </row>
    <row r="57" spans="1:15" ht="15" customHeight="1" x14ac:dyDescent="0.45">
      <c r="A57" s="3" t="s">
        <v>72</v>
      </c>
      <c r="B57" s="3" t="s">
        <v>27</v>
      </c>
      <c r="C57" s="3" t="s">
        <v>75</v>
      </c>
      <c r="D57" s="3">
        <v>1385</v>
      </c>
      <c r="E57" s="3">
        <v>18</v>
      </c>
      <c r="F57" s="3" t="s">
        <v>32</v>
      </c>
      <c r="G57" s="3">
        <v>3000</v>
      </c>
      <c r="H57" s="3">
        <v>8100</v>
      </c>
      <c r="I57" s="3">
        <v>4320</v>
      </c>
      <c r="J57" s="3">
        <v>7.2</v>
      </c>
      <c r="K57" s="3">
        <v>530</v>
      </c>
      <c r="L57" s="3">
        <v>351</v>
      </c>
      <c r="M57" s="3">
        <v>1546</v>
      </c>
      <c r="N57" s="3">
        <v>0</v>
      </c>
      <c r="O57" s="3" t="s">
        <v>19</v>
      </c>
    </row>
    <row r="58" spans="1:15" ht="15" customHeight="1" x14ac:dyDescent="0.45">
      <c r="A58" s="2" t="s">
        <v>72</v>
      </c>
      <c r="B58" s="2" t="s">
        <v>30</v>
      </c>
      <c r="C58" s="2" t="s">
        <v>76</v>
      </c>
      <c r="D58" s="2">
        <v>1505</v>
      </c>
      <c r="E58" s="2">
        <v>24</v>
      </c>
      <c r="F58" s="2" t="s">
        <v>18</v>
      </c>
      <c r="G58" s="2">
        <v>400</v>
      </c>
      <c r="H58" s="2">
        <v>1440</v>
      </c>
      <c r="I58" s="2">
        <v>768</v>
      </c>
      <c r="J58" s="2">
        <v>9.6</v>
      </c>
      <c r="K58" s="2">
        <v>570</v>
      </c>
      <c r="L58" s="2">
        <v>388</v>
      </c>
      <c r="M58" s="2">
        <v>1663</v>
      </c>
      <c r="N58" s="2">
        <v>0</v>
      </c>
      <c r="O58" s="2" t="s">
        <v>19</v>
      </c>
    </row>
    <row r="59" spans="1:15" ht="15" customHeight="1" x14ac:dyDescent="0.45">
      <c r="A59" s="3" t="s">
        <v>72</v>
      </c>
      <c r="B59" s="3" t="s">
        <v>33</v>
      </c>
      <c r="C59" s="3" t="s">
        <v>77</v>
      </c>
      <c r="D59" s="3">
        <v>1625</v>
      </c>
      <c r="E59" s="3">
        <v>16</v>
      </c>
      <c r="F59" s="3" t="s">
        <v>21</v>
      </c>
      <c r="G59" s="3">
        <v>12000</v>
      </c>
      <c r="H59" s="3">
        <v>28800</v>
      </c>
      <c r="I59" s="3">
        <v>15360</v>
      </c>
      <c r="J59" s="3">
        <v>6.4</v>
      </c>
      <c r="K59" s="3">
        <v>610</v>
      </c>
      <c r="L59" s="3">
        <v>425</v>
      </c>
      <c r="M59" s="3">
        <v>1794</v>
      </c>
      <c r="N59" s="3">
        <v>0</v>
      </c>
      <c r="O59" s="3" t="s">
        <v>19</v>
      </c>
    </row>
    <row r="60" spans="1:15" ht="15" customHeight="1" x14ac:dyDescent="0.45">
      <c r="A60" s="2" t="s">
        <v>78</v>
      </c>
      <c r="B60" s="2" t="s">
        <v>16</v>
      </c>
      <c r="C60" s="2" t="s">
        <v>79</v>
      </c>
      <c r="D60" s="2">
        <v>920</v>
      </c>
      <c r="E60" s="2">
        <v>9</v>
      </c>
      <c r="F60" s="2" t="s">
        <v>24</v>
      </c>
      <c r="G60" s="2">
        <v>450</v>
      </c>
      <c r="H60" s="2">
        <v>608</v>
      </c>
      <c r="I60" s="2">
        <v>324</v>
      </c>
      <c r="J60" s="2">
        <v>3.6</v>
      </c>
      <c r="K60" s="2">
        <v>380</v>
      </c>
      <c r="L60" s="2">
        <v>209</v>
      </c>
      <c r="M60" s="2">
        <v>1082</v>
      </c>
      <c r="N60" s="2">
        <v>500</v>
      </c>
      <c r="O60" s="2" t="s">
        <v>19</v>
      </c>
    </row>
    <row r="61" spans="1:15" ht="15" customHeight="1" x14ac:dyDescent="0.45">
      <c r="A61" s="3" t="s">
        <v>78</v>
      </c>
      <c r="B61" s="3" t="s">
        <v>20</v>
      </c>
      <c r="C61" s="3" t="s">
        <v>79</v>
      </c>
      <c r="D61" s="3">
        <v>1040</v>
      </c>
      <c r="E61" s="3">
        <v>13</v>
      </c>
      <c r="F61" s="3" t="s">
        <v>26</v>
      </c>
      <c r="G61" s="3">
        <v>120</v>
      </c>
      <c r="H61" s="3">
        <v>260</v>
      </c>
      <c r="I61" s="3">
        <v>130</v>
      </c>
      <c r="J61" s="3">
        <v>5.2</v>
      </c>
      <c r="K61" s="3">
        <v>420</v>
      </c>
      <c r="L61" s="3">
        <v>246</v>
      </c>
      <c r="M61" s="3">
        <v>1201</v>
      </c>
      <c r="N61" s="3">
        <v>0</v>
      </c>
      <c r="O61" s="3" t="s">
        <v>19</v>
      </c>
    </row>
    <row r="62" spans="1:15" ht="15" customHeight="1" x14ac:dyDescent="0.45">
      <c r="A62" s="2" t="s">
        <v>78</v>
      </c>
      <c r="B62" s="2" t="s">
        <v>22</v>
      </c>
      <c r="C62" s="2" t="s">
        <v>80</v>
      </c>
      <c r="D62" s="2">
        <v>1160</v>
      </c>
      <c r="E62" s="2">
        <v>18</v>
      </c>
      <c r="F62" s="2" t="s">
        <v>29</v>
      </c>
      <c r="G62" s="2">
        <v>950</v>
      </c>
      <c r="H62" s="2">
        <v>2565</v>
      </c>
      <c r="I62" s="2">
        <v>1368</v>
      </c>
      <c r="J62" s="2">
        <v>7.2</v>
      </c>
      <c r="K62" s="2">
        <v>460</v>
      </c>
      <c r="L62" s="2">
        <v>283</v>
      </c>
      <c r="M62" s="2">
        <v>1319</v>
      </c>
      <c r="N62" s="2">
        <v>0</v>
      </c>
      <c r="O62" s="2" t="s">
        <v>19</v>
      </c>
    </row>
    <row r="63" spans="1:15" ht="15" customHeight="1" x14ac:dyDescent="0.45">
      <c r="A63" s="3" t="s">
        <v>78</v>
      </c>
      <c r="B63" s="3" t="s">
        <v>25</v>
      </c>
      <c r="C63" s="3" t="s">
        <v>79</v>
      </c>
      <c r="D63" s="3">
        <v>1280</v>
      </c>
      <c r="E63" s="3">
        <v>12</v>
      </c>
      <c r="F63" s="3" t="s">
        <v>32</v>
      </c>
      <c r="G63" s="3">
        <v>2500</v>
      </c>
      <c r="H63" s="3">
        <v>4500</v>
      </c>
      <c r="I63" s="3">
        <v>2400</v>
      </c>
      <c r="J63" s="3">
        <v>4.8</v>
      </c>
      <c r="K63" s="3">
        <v>500</v>
      </c>
      <c r="L63" s="3">
        <v>320</v>
      </c>
      <c r="M63" s="3">
        <v>1448</v>
      </c>
      <c r="N63" s="3">
        <v>0</v>
      </c>
      <c r="O63" s="3" t="s">
        <v>19</v>
      </c>
    </row>
    <row r="64" spans="1:15" ht="15" customHeight="1" x14ac:dyDescent="0.45">
      <c r="A64" s="2" t="s">
        <v>78</v>
      </c>
      <c r="B64" s="2" t="s">
        <v>27</v>
      </c>
      <c r="C64" s="2" t="s">
        <v>81</v>
      </c>
      <c r="D64" s="2">
        <v>1400</v>
      </c>
      <c r="E64" s="2">
        <v>18</v>
      </c>
      <c r="F64" s="2" t="s">
        <v>18</v>
      </c>
      <c r="G64" s="2">
        <v>3000</v>
      </c>
      <c r="H64" s="2">
        <v>8100</v>
      </c>
      <c r="I64" s="2">
        <v>4320</v>
      </c>
      <c r="J64" s="2">
        <v>7.2</v>
      </c>
      <c r="K64" s="2">
        <v>540</v>
      </c>
      <c r="L64" s="2">
        <v>357</v>
      </c>
      <c r="M64" s="2">
        <v>1565</v>
      </c>
      <c r="N64" s="2">
        <v>0</v>
      </c>
      <c r="O64" s="2" t="s">
        <v>19</v>
      </c>
    </row>
    <row r="65" spans="1:15" ht="15" customHeight="1" x14ac:dyDescent="0.45">
      <c r="A65" s="3" t="s">
        <v>78</v>
      </c>
      <c r="B65" s="3" t="s">
        <v>30</v>
      </c>
      <c r="C65" s="3" t="s">
        <v>82</v>
      </c>
      <c r="D65" s="3">
        <v>1520</v>
      </c>
      <c r="E65" s="3">
        <v>24</v>
      </c>
      <c r="F65" s="3" t="s">
        <v>21</v>
      </c>
      <c r="G65" s="3">
        <v>400</v>
      </c>
      <c r="H65" s="3">
        <v>1440</v>
      </c>
      <c r="I65" s="3">
        <v>768</v>
      </c>
      <c r="J65" s="3">
        <v>9.6</v>
      </c>
      <c r="K65" s="3">
        <v>580</v>
      </c>
      <c r="L65" s="3">
        <v>394</v>
      </c>
      <c r="M65" s="3">
        <v>1682</v>
      </c>
      <c r="N65" s="3">
        <v>0</v>
      </c>
      <c r="O65" s="3" t="s">
        <v>19</v>
      </c>
    </row>
    <row r="66" spans="1:15" ht="15" customHeight="1" x14ac:dyDescent="0.45">
      <c r="A66" s="2" t="s">
        <v>78</v>
      </c>
      <c r="B66" s="2" t="s">
        <v>33</v>
      </c>
      <c r="C66" s="2" t="s">
        <v>83</v>
      </c>
      <c r="D66" s="2">
        <v>1640</v>
      </c>
      <c r="E66" s="2">
        <v>16</v>
      </c>
      <c r="F66" s="2" t="s">
        <v>24</v>
      </c>
      <c r="G66" s="2">
        <v>12000</v>
      </c>
      <c r="H66" s="2">
        <v>28800</v>
      </c>
      <c r="I66" s="2">
        <v>15360</v>
      </c>
      <c r="J66" s="2">
        <v>6.4</v>
      </c>
      <c r="K66" s="2">
        <v>620</v>
      </c>
      <c r="L66" s="2">
        <v>431</v>
      </c>
      <c r="M66" s="2">
        <v>1813</v>
      </c>
      <c r="N66" s="2">
        <v>0</v>
      </c>
      <c r="O66" s="2" t="s">
        <v>19</v>
      </c>
    </row>
    <row r="67" spans="1:15" ht="15" customHeight="1" x14ac:dyDescent="0.45">
      <c r="A67" s="3" t="s">
        <v>84</v>
      </c>
      <c r="B67" s="3" t="s">
        <v>16</v>
      </c>
      <c r="C67" s="3" t="s">
        <v>85</v>
      </c>
      <c r="D67" s="3">
        <v>935</v>
      </c>
      <c r="E67" s="3">
        <v>9</v>
      </c>
      <c r="F67" s="3" t="s">
        <v>26</v>
      </c>
      <c r="G67" s="3">
        <v>450</v>
      </c>
      <c r="H67" s="3">
        <v>608</v>
      </c>
      <c r="I67" s="3">
        <v>324</v>
      </c>
      <c r="J67" s="3">
        <v>3.6</v>
      </c>
      <c r="K67" s="3">
        <v>390</v>
      </c>
      <c r="L67" s="3">
        <v>214</v>
      </c>
      <c r="M67" s="3">
        <v>1102</v>
      </c>
      <c r="N67" s="3">
        <v>500</v>
      </c>
      <c r="O67" s="3" t="s">
        <v>19</v>
      </c>
    </row>
    <row r="68" spans="1:15" ht="15" customHeight="1" x14ac:dyDescent="0.45">
      <c r="A68" s="2" t="s">
        <v>84</v>
      </c>
      <c r="B68" s="2" t="s">
        <v>20</v>
      </c>
      <c r="C68" s="2" t="s">
        <v>85</v>
      </c>
      <c r="D68" s="2">
        <v>1055</v>
      </c>
      <c r="E68" s="2">
        <v>13</v>
      </c>
      <c r="F68" s="2" t="s">
        <v>29</v>
      </c>
      <c r="G68" s="2">
        <v>120</v>
      </c>
      <c r="H68" s="2">
        <v>260</v>
      </c>
      <c r="I68" s="2">
        <v>130</v>
      </c>
      <c r="J68" s="2">
        <v>5.2</v>
      </c>
      <c r="K68" s="2">
        <v>430</v>
      </c>
      <c r="L68" s="2">
        <v>251</v>
      </c>
      <c r="M68" s="2">
        <v>1221</v>
      </c>
      <c r="N68" s="2">
        <v>0</v>
      </c>
      <c r="O68" s="2" t="s">
        <v>19</v>
      </c>
    </row>
    <row r="69" spans="1:15" ht="15" customHeight="1" x14ac:dyDescent="0.45">
      <c r="A69" s="3" t="s">
        <v>84</v>
      </c>
      <c r="B69" s="3" t="s">
        <v>22</v>
      </c>
      <c r="C69" s="3" t="s">
        <v>86</v>
      </c>
      <c r="D69" s="3">
        <v>1175</v>
      </c>
      <c r="E69" s="3">
        <v>18</v>
      </c>
      <c r="F69" s="3" t="s">
        <v>32</v>
      </c>
      <c r="G69" s="3">
        <v>950</v>
      </c>
      <c r="H69" s="3">
        <v>2565</v>
      </c>
      <c r="I69" s="3">
        <v>1368</v>
      </c>
      <c r="J69" s="3">
        <v>7.2</v>
      </c>
      <c r="K69" s="3">
        <v>470</v>
      </c>
      <c r="L69" s="3">
        <v>288</v>
      </c>
      <c r="M69" s="3">
        <v>1339</v>
      </c>
      <c r="N69" s="3">
        <v>0</v>
      </c>
      <c r="O69" s="3" t="s">
        <v>19</v>
      </c>
    </row>
    <row r="70" spans="1:15" ht="15" customHeight="1" x14ac:dyDescent="0.45">
      <c r="A70" s="2" t="s">
        <v>84</v>
      </c>
      <c r="B70" s="2" t="s">
        <v>25</v>
      </c>
      <c r="C70" s="2" t="s">
        <v>85</v>
      </c>
      <c r="D70" s="2">
        <v>1295</v>
      </c>
      <c r="E70" s="2">
        <v>12</v>
      </c>
      <c r="F70" s="2" t="s">
        <v>18</v>
      </c>
      <c r="G70" s="2">
        <v>2500</v>
      </c>
      <c r="H70" s="2">
        <v>4500</v>
      </c>
      <c r="I70" s="2">
        <v>2400</v>
      </c>
      <c r="J70" s="2">
        <v>4.8</v>
      </c>
      <c r="K70" s="2">
        <v>510</v>
      </c>
      <c r="L70" s="2">
        <v>325</v>
      </c>
      <c r="M70" s="2">
        <v>1468</v>
      </c>
      <c r="N70" s="2">
        <v>0</v>
      </c>
      <c r="O70" s="2" t="s">
        <v>19</v>
      </c>
    </row>
    <row r="71" spans="1:15" ht="15" customHeight="1" x14ac:dyDescent="0.45">
      <c r="A71" s="3" t="s">
        <v>84</v>
      </c>
      <c r="B71" s="3" t="s">
        <v>27</v>
      </c>
      <c r="C71" s="3" t="s">
        <v>87</v>
      </c>
      <c r="D71" s="3">
        <v>1415</v>
      </c>
      <c r="E71" s="3">
        <v>18</v>
      </c>
      <c r="F71" s="3" t="s">
        <v>21</v>
      </c>
      <c r="G71" s="3">
        <v>3000</v>
      </c>
      <c r="H71" s="3">
        <v>8100</v>
      </c>
      <c r="I71" s="3">
        <v>4320</v>
      </c>
      <c r="J71" s="3">
        <v>7.2</v>
      </c>
      <c r="K71" s="3">
        <v>550</v>
      </c>
      <c r="L71" s="3">
        <v>362</v>
      </c>
      <c r="M71" s="3">
        <v>1585</v>
      </c>
      <c r="N71" s="3">
        <v>0</v>
      </c>
      <c r="O71" s="3" t="s">
        <v>19</v>
      </c>
    </row>
    <row r="72" spans="1:15" ht="15" customHeight="1" x14ac:dyDescent="0.45">
      <c r="A72" s="2" t="s">
        <v>84</v>
      </c>
      <c r="B72" s="2" t="s">
        <v>30</v>
      </c>
      <c r="C72" s="2" t="s">
        <v>88</v>
      </c>
      <c r="D72" s="2">
        <v>1535</v>
      </c>
      <c r="E72" s="2">
        <v>24</v>
      </c>
      <c r="F72" s="2" t="s">
        <v>24</v>
      </c>
      <c r="G72" s="2">
        <v>400</v>
      </c>
      <c r="H72" s="2">
        <v>1440</v>
      </c>
      <c r="I72" s="2">
        <v>768</v>
      </c>
      <c r="J72" s="2">
        <v>9.6</v>
      </c>
      <c r="K72" s="2">
        <v>590</v>
      </c>
      <c r="L72" s="2">
        <v>399</v>
      </c>
      <c r="M72" s="2">
        <v>1702</v>
      </c>
      <c r="N72" s="2">
        <v>0</v>
      </c>
      <c r="O72" s="2" t="s">
        <v>19</v>
      </c>
    </row>
    <row r="73" spans="1:15" ht="15" customHeight="1" x14ac:dyDescent="0.45">
      <c r="A73" s="3" t="s">
        <v>84</v>
      </c>
      <c r="B73" s="3" t="s">
        <v>33</v>
      </c>
      <c r="C73" s="3" t="s">
        <v>89</v>
      </c>
      <c r="D73" s="3">
        <v>1655</v>
      </c>
      <c r="E73" s="3">
        <v>16</v>
      </c>
      <c r="F73" s="3" t="s">
        <v>26</v>
      </c>
      <c r="G73" s="3">
        <v>12000</v>
      </c>
      <c r="H73" s="3">
        <v>28800</v>
      </c>
      <c r="I73" s="3">
        <v>15360</v>
      </c>
      <c r="J73" s="3">
        <v>6.4</v>
      </c>
      <c r="K73" s="3">
        <v>630</v>
      </c>
      <c r="L73" s="3">
        <v>436</v>
      </c>
      <c r="M73" s="3">
        <v>1833</v>
      </c>
      <c r="N73" s="3">
        <v>0</v>
      </c>
      <c r="O73" s="3" t="s">
        <v>19</v>
      </c>
    </row>
    <row r="74" spans="1:15" ht="15" customHeight="1" x14ac:dyDescent="0.45">
      <c r="A74" s="2" t="s">
        <v>90</v>
      </c>
      <c r="B74" s="2" t="s">
        <v>16</v>
      </c>
      <c r="C74" s="2" t="s">
        <v>91</v>
      </c>
      <c r="D74" s="2">
        <v>950</v>
      </c>
      <c r="E74" s="2">
        <v>9</v>
      </c>
      <c r="F74" s="2" t="s">
        <v>29</v>
      </c>
      <c r="G74" s="2">
        <v>450</v>
      </c>
      <c r="H74" s="2">
        <v>608</v>
      </c>
      <c r="I74" s="2">
        <v>324</v>
      </c>
      <c r="J74" s="2">
        <v>3.6</v>
      </c>
      <c r="K74" s="2">
        <v>400</v>
      </c>
      <c r="L74" s="2">
        <v>220</v>
      </c>
      <c r="M74" s="2">
        <v>1121</v>
      </c>
      <c r="N74" s="2">
        <v>500</v>
      </c>
      <c r="O74" s="2" t="s">
        <v>19</v>
      </c>
    </row>
    <row r="75" spans="1:15" ht="15" customHeight="1" x14ac:dyDescent="0.45">
      <c r="A75" s="3" t="s">
        <v>90</v>
      </c>
      <c r="B75" s="3" t="s">
        <v>20</v>
      </c>
      <c r="C75" s="3" t="s">
        <v>91</v>
      </c>
      <c r="D75" s="3">
        <v>1070</v>
      </c>
      <c r="E75" s="3">
        <v>13</v>
      </c>
      <c r="F75" s="3" t="s">
        <v>32</v>
      </c>
      <c r="G75" s="3">
        <v>120</v>
      </c>
      <c r="H75" s="3">
        <v>260</v>
      </c>
      <c r="I75" s="3">
        <v>130</v>
      </c>
      <c r="J75" s="3">
        <v>5.2</v>
      </c>
      <c r="K75" s="3">
        <v>440</v>
      </c>
      <c r="L75" s="3">
        <v>257</v>
      </c>
      <c r="M75" s="3">
        <v>1240</v>
      </c>
      <c r="N75" s="3">
        <v>0</v>
      </c>
      <c r="O75" s="3" t="s">
        <v>19</v>
      </c>
    </row>
    <row r="76" spans="1:15" ht="15" customHeight="1" x14ac:dyDescent="0.45">
      <c r="A76" s="2" t="s">
        <v>90</v>
      </c>
      <c r="B76" s="2" t="s">
        <v>22</v>
      </c>
      <c r="C76" s="2" t="s">
        <v>92</v>
      </c>
      <c r="D76" s="2">
        <v>1190</v>
      </c>
      <c r="E76" s="2">
        <v>19</v>
      </c>
      <c r="F76" s="2" t="s">
        <v>18</v>
      </c>
      <c r="G76" s="2">
        <v>950</v>
      </c>
      <c r="H76" s="2">
        <v>2708</v>
      </c>
      <c r="I76" s="2">
        <v>1444</v>
      </c>
      <c r="J76" s="2">
        <v>7.6</v>
      </c>
      <c r="K76" s="2">
        <v>480</v>
      </c>
      <c r="L76" s="2">
        <v>294</v>
      </c>
      <c r="M76" s="2">
        <v>1357</v>
      </c>
      <c r="N76" s="2">
        <v>0</v>
      </c>
      <c r="O76" s="2" t="s">
        <v>19</v>
      </c>
    </row>
    <row r="77" spans="1:15" ht="15" customHeight="1" x14ac:dyDescent="0.45">
      <c r="A77" s="3" t="s">
        <v>90</v>
      </c>
      <c r="B77" s="3" t="s">
        <v>25</v>
      </c>
      <c r="C77" s="3" t="s">
        <v>91</v>
      </c>
      <c r="D77" s="3">
        <v>1310</v>
      </c>
      <c r="E77" s="3">
        <v>13</v>
      </c>
      <c r="F77" s="3" t="s">
        <v>21</v>
      </c>
      <c r="G77" s="3">
        <v>2500</v>
      </c>
      <c r="H77" s="3">
        <v>4875</v>
      </c>
      <c r="I77" s="3">
        <v>2600</v>
      </c>
      <c r="J77" s="3">
        <v>5.2</v>
      </c>
      <c r="K77" s="3">
        <v>520</v>
      </c>
      <c r="L77" s="3">
        <v>331</v>
      </c>
      <c r="M77" s="3">
        <v>1486</v>
      </c>
      <c r="N77" s="3">
        <v>0</v>
      </c>
      <c r="O77" s="3" t="s">
        <v>19</v>
      </c>
    </row>
    <row r="78" spans="1:15" ht="15" customHeight="1" x14ac:dyDescent="0.45">
      <c r="A78" s="2" t="s">
        <v>90</v>
      </c>
      <c r="B78" s="2" t="s">
        <v>27</v>
      </c>
      <c r="C78" s="2" t="s">
        <v>93</v>
      </c>
      <c r="D78" s="2">
        <v>1430</v>
      </c>
      <c r="E78" s="2">
        <v>18</v>
      </c>
      <c r="F78" s="2" t="s">
        <v>24</v>
      </c>
      <c r="G78" s="2">
        <v>3000</v>
      </c>
      <c r="H78" s="2">
        <v>8100</v>
      </c>
      <c r="I78" s="2">
        <v>4320</v>
      </c>
      <c r="J78" s="2">
        <v>7.2</v>
      </c>
      <c r="K78" s="2">
        <v>560</v>
      </c>
      <c r="L78" s="2">
        <v>368</v>
      </c>
      <c r="M78" s="2">
        <v>1604</v>
      </c>
      <c r="N78" s="2">
        <v>0</v>
      </c>
      <c r="O78" s="2" t="s">
        <v>19</v>
      </c>
    </row>
    <row r="79" spans="1:15" ht="15" customHeight="1" x14ac:dyDescent="0.45">
      <c r="A79" s="3" t="s">
        <v>90</v>
      </c>
      <c r="B79" s="3" t="s">
        <v>30</v>
      </c>
      <c r="C79" s="3" t="s">
        <v>94</v>
      </c>
      <c r="D79" s="3">
        <v>1550</v>
      </c>
      <c r="E79" s="3">
        <v>24</v>
      </c>
      <c r="F79" s="3" t="s">
        <v>26</v>
      </c>
      <c r="G79" s="3">
        <v>400</v>
      </c>
      <c r="H79" s="3">
        <v>1440</v>
      </c>
      <c r="I79" s="3">
        <v>768</v>
      </c>
      <c r="J79" s="3">
        <v>9.6</v>
      </c>
      <c r="K79" s="3">
        <v>600</v>
      </c>
      <c r="L79" s="3">
        <v>405</v>
      </c>
      <c r="M79" s="3">
        <v>1721</v>
      </c>
      <c r="N79" s="3">
        <v>0</v>
      </c>
      <c r="O79" s="3" t="s">
        <v>19</v>
      </c>
    </row>
    <row r="80" spans="1:15" ht="15" customHeight="1" x14ac:dyDescent="0.45">
      <c r="A80" s="2" t="s">
        <v>90</v>
      </c>
      <c r="B80" s="2" t="s">
        <v>33</v>
      </c>
      <c r="C80" s="2" t="s">
        <v>95</v>
      </c>
      <c r="D80" s="2">
        <v>1670</v>
      </c>
      <c r="E80" s="2">
        <v>16</v>
      </c>
      <c r="F80" s="2" t="s">
        <v>29</v>
      </c>
      <c r="G80" s="2">
        <v>12000</v>
      </c>
      <c r="H80" s="2">
        <v>28800</v>
      </c>
      <c r="I80" s="2">
        <v>15360</v>
      </c>
      <c r="J80" s="2">
        <v>6.4</v>
      </c>
      <c r="K80" s="2">
        <v>640</v>
      </c>
      <c r="L80" s="2">
        <v>442</v>
      </c>
      <c r="M80" s="2">
        <v>1852</v>
      </c>
      <c r="N80" s="2">
        <v>0</v>
      </c>
      <c r="O80" s="2" t="s">
        <v>19</v>
      </c>
    </row>
    <row r="81" spans="1:15" ht="15" customHeight="1" x14ac:dyDescent="0.45">
      <c r="A81" s="3" t="s">
        <v>96</v>
      </c>
      <c r="B81" s="3" t="s">
        <v>16</v>
      </c>
      <c r="C81" s="3" t="s">
        <v>97</v>
      </c>
      <c r="D81" s="3">
        <v>965</v>
      </c>
      <c r="E81" s="3">
        <v>9</v>
      </c>
      <c r="F81" s="3" t="s">
        <v>32</v>
      </c>
      <c r="G81" s="3">
        <v>450</v>
      </c>
      <c r="H81" s="3">
        <v>608</v>
      </c>
      <c r="I81" s="3">
        <v>324</v>
      </c>
      <c r="J81" s="3">
        <v>3.6</v>
      </c>
      <c r="K81" s="3">
        <v>410</v>
      </c>
      <c r="L81" s="3">
        <v>225</v>
      </c>
      <c r="M81" s="3">
        <v>1141</v>
      </c>
      <c r="N81" s="3">
        <v>500</v>
      </c>
      <c r="O81" s="3" t="s">
        <v>19</v>
      </c>
    </row>
    <row r="82" spans="1:15" ht="15" customHeight="1" x14ac:dyDescent="0.45">
      <c r="A82" s="2" t="s">
        <v>96</v>
      </c>
      <c r="B82" s="2" t="s">
        <v>20</v>
      </c>
      <c r="C82" s="2" t="s">
        <v>97</v>
      </c>
      <c r="D82" s="2">
        <v>1085</v>
      </c>
      <c r="E82" s="2">
        <v>14</v>
      </c>
      <c r="F82" s="2" t="s">
        <v>18</v>
      </c>
      <c r="G82" s="2">
        <v>120</v>
      </c>
      <c r="H82" s="2">
        <v>280</v>
      </c>
      <c r="I82" s="2">
        <v>140</v>
      </c>
      <c r="J82" s="2">
        <v>5.6</v>
      </c>
      <c r="K82" s="2">
        <v>450</v>
      </c>
      <c r="L82" s="2">
        <v>262</v>
      </c>
      <c r="M82" s="2">
        <v>1259</v>
      </c>
      <c r="N82" s="2">
        <v>0</v>
      </c>
      <c r="O82" s="2" t="s">
        <v>19</v>
      </c>
    </row>
    <row r="83" spans="1:15" ht="15" customHeight="1" x14ac:dyDescent="0.45">
      <c r="A83" s="3" t="s">
        <v>96</v>
      </c>
      <c r="B83" s="3" t="s">
        <v>22</v>
      </c>
      <c r="C83" s="3" t="s">
        <v>98</v>
      </c>
      <c r="D83" s="3">
        <v>1205</v>
      </c>
      <c r="E83" s="3">
        <v>19</v>
      </c>
      <c r="F83" s="3" t="s">
        <v>21</v>
      </c>
      <c r="G83" s="3">
        <v>950</v>
      </c>
      <c r="H83" s="3">
        <v>2708</v>
      </c>
      <c r="I83" s="3">
        <v>1444</v>
      </c>
      <c r="J83" s="3">
        <v>7.6</v>
      </c>
      <c r="K83" s="3">
        <v>490</v>
      </c>
      <c r="L83" s="3">
        <v>299</v>
      </c>
      <c r="M83" s="3">
        <v>1377</v>
      </c>
      <c r="N83" s="3">
        <v>0</v>
      </c>
      <c r="O83" s="3" t="s">
        <v>19</v>
      </c>
    </row>
    <row r="84" spans="1:15" ht="15" customHeight="1" x14ac:dyDescent="0.45">
      <c r="A84" s="2" t="s">
        <v>96</v>
      </c>
      <c r="B84" s="2" t="s">
        <v>25</v>
      </c>
      <c r="C84" s="2" t="s">
        <v>97</v>
      </c>
      <c r="D84" s="2">
        <v>1325</v>
      </c>
      <c r="E84" s="2">
        <v>13</v>
      </c>
      <c r="F84" s="2" t="s">
        <v>24</v>
      </c>
      <c r="G84" s="2">
        <v>2500</v>
      </c>
      <c r="H84" s="2">
        <v>4875</v>
      </c>
      <c r="I84" s="2">
        <v>2600</v>
      </c>
      <c r="J84" s="2">
        <v>5.2</v>
      </c>
      <c r="K84" s="2">
        <v>530</v>
      </c>
      <c r="L84" s="2">
        <v>336</v>
      </c>
      <c r="M84" s="2">
        <v>1506</v>
      </c>
      <c r="N84" s="2">
        <v>0</v>
      </c>
      <c r="O84" s="2" t="s">
        <v>19</v>
      </c>
    </row>
    <row r="85" spans="1:15" ht="15" customHeight="1" x14ac:dyDescent="0.45">
      <c r="A85" s="3" t="s">
        <v>96</v>
      </c>
      <c r="B85" s="3" t="s">
        <v>27</v>
      </c>
      <c r="C85" s="3" t="s">
        <v>99</v>
      </c>
      <c r="D85" s="3">
        <v>1445</v>
      </c>
      <c r="E85" s="3">
        <v>18</v>
      </c>
      <c r="F85" s="3" t="s">
        <v>26</v>
      </c>
      <c r="G85" s="3">
        <v>3000</v>
      </c>
      <c r="H85" s="3">
        <v>8100</v>
      </c>
      <c r="I85" s="3">
        <v>4320</v>
      </c>
      <c r="J85" s="3">
        <v>7.2</v>
      </c>
      <c r="K85" s="3">
        <v>570</v>
      </c>
      <c r="L85" s="3">
        <v>373</v>
      </c>
      <c r="M85" s="3">
        <v>1624</v>
      </c>
      <c r="N85" s="3">
        <v>0</v>
      </c>
      <c r="O85" s="3" t="s">
        <v>19</v>
      </c>
    </row>
    <row r="86" spans="1:15" ht="15" customHeight="1" x14ac:dyDescent="0.45">
      <c r="A86" s="2" t="s">
        <v>96</v>
      </c>
      <c r="B86" s="2" t="s">
        <v>30</v>
      </c>
      <c r="C86" s="2" t="s">
        <v>100</v>
      </c>
      <c r="D86" s="2">
        <v>1565</v>
      </c>
      <c r="E86" s="2">
        <v>25</v>
      </c>
      <c r="F86" s="2" t="s">
        <v>29</v>
      </c>
      <c r="G86" s="2">
        <v>400</v>
      </c>
      <c r="H86" s="2">
        <v>1500</v>
      </c>
      <c r="I86" s="2">
        <v>800</v>
      </c>
      <c r="J86" s="2">
        <v>10</v>
      </c>
      <c r="K86" s="2">
        <v>610</v>
      </c>
      <c r="L86" s="2">
        <v>410</v>
      </c>
      <c r="M86" s="2">
        <v>1740</v>
      </c>
      <c r="N86" s="2">
        <v>0</v>
      </c>
      <c r="O86" s="2" t="s">
        <v>19</v>
      </c>
    </row>
    <row r="87" spans="1:15" ht="15" customHeight="1" x14ac:dyDescent="0.45">
      <c r="A87" s="3" t="s">
        <v>96</v>
      </c>
      <c r="B87" s="3" t="s">
        <v>33</v>
      </c>
      <c r="C87" s="3" t="s">
        <v>101</v>
      </c>
      <c r="D87" s="3">
        <v>1685</v>
      </c>
      <c r="E87" s="3">
        <v>16</v>
      </c>
      <c r="F87" s="3" t="s">
        <v>32</v>
      </c>
      <c r="G87" s="3">
        <v>12000</v>
      </c>
      <c r="H87" s="3">
        <v>28800</v>
      </c>
      <c r="I87" s="3">
        <v>15360</v>
      </c>
      <c r="J87" s="3">
        <v>6.4</v>
      </c>
      <c r="K87" s="3">
        <v>650</v>
      </c>
      <c r="L87" s="3">
        <v>447</v>
      </c>
      <c r="M87" s="3">
        <v>1872</v>
      </c>
      <c r="N87" s="3">
        <v>0</v>
      </c>
      <c r="O87" s="3" t="s">
        <v>19</v>
      </c>
    </row>
    <row r="88" spans="1:15" ht="15" customHeight="1" x14ac:dyDescent="0.45">
      <c r="A88" s="2" t="s">
        <v>102</v>
      </c>
      <c r="B88" s="2" t="s">
        <v>16</v>
      </c>
      <c r="C88" s="2" t="s">
        <v>103</v>
      </c>
      <c r="D88" s="2">
        <v>980</v>
      </c>
      <c r="E88" s="2">
        <v>9</v>
      </c>
      <c r="F88" s="2" t="s">
        <v>18</v>
      </c>
      <c r="G88" s="2">
        <v>450</v>
      </c>
      <c r="H88" s="2">
        <v>608</v>
      </c>
      <c r="I88" s="2">
        <v>324</v>
      </c>
      <c r="J88" s="2">
        <v>3.6</v>
      </c>
      <c r="K88" s="2">
        <v>420</v>
      </c>
      <c r="L88" s="2">
        <v>231</v>
      </c>
      <c r="M88" s="2">
        <v>1160</v>
      </c>
      <c r="N88" s="2">
        <v>500</v>
      </c>
      <c r="O88" s="2" t="s">
        <v>19</v>
      </c>
    </row>
    <row r="89" spans="1:15" ht="15" customHeight="1" x14ac:dyDescent="0.45">
      <c r="A89" s="3" t="s">
        <v>102</v>
      </c>
      <c r="B89" s="3" t="s">
        <v>20</v>
      </c>
      <c r="C89" s="3" t="s">
        <v>103</v>
      </c>
      <c r="D89" s="3">
        <v>1100</v>
      </c>
      <c r="E89" s="3">
        <v>14</v>
      </c>
      <c r="F89" s="3" t="s">
        <v>21</v>
      </c>
      <c r="G89" s="3">
        <v>120</v>
      </c>
      <c r="H89" s="3">
        <v>280</v>
      </c>
      <c r="I89" s="3">
        <v>140</v>
      </c>
      <c r="J89" s="3">
        <v>5.6</v>
      </c>
      <c r="K89" s="3">
        <v>460</v>
      </c>
      <c r="L89" s="3">
        <v>268</v>
      </c>
      <c r="M89" s="3">
        <v>1278</v>
      </c>
      <c r="N89" s="3">
        <v>0</v>
      </c>
      <c r="O89" s="3" t="s">
        <v>19</v>
      </c>
    </row>
    <row r="90" spans="1:15" ht="15" customHeight="1" x14ac:dyDescent="0.45">
      <c r="A90" s="2" t="s">
        <v>102</v>
      </c>
      <c r="B90" s="2" t="s">
        <v>22</v>
      </c>
      <c r="C90" s="2" t="s">
        <v>104</v>
      </c>
      <c r="D90" s="2">
        <v>1220</v>
      </c>
      <c r="E90" s="2">
        <v>19</v>
      </c>
      <c r="F90" s="2" t="s">
        <v>24</v>
      </c>
      <c r="G90" s="2">
        <v>950</v>
      </c>
      <c r="H90" s="2">
        <v>2708</v>
      </c>
      <c r="I90" s="2">
        <v>1444</v>
      </c>
      <c r="J90" s="2">
        <v>7.6</v>
      </c>
      <c r="K90" s="2">
        <v>500</v>
      </c>
      <c r="L90" s="2">
        <v>305</v>
      </c>
      <c r="M90" s="2">
        <v>1396</v>
      </c>
      <c r="N90" s="2">
        <v>0</v>
      </c>
      <c r="O90" s="2" t="s">
        <v>19</v>
      </c>
    </row>
    <row r="91" spans="1:15" ht="15" customHeight="1" x14ac:dyDescent="0.45">
      <c r="A91" s="3" t="s">
        <v>102</v>
      </c>
      <c r="B91" s="3" t="s">
        <v>25</v>
      </c>
      <c r="C91" s="3" t="s">
        <v>103</v>
      </c>
      <c r="D91" s="3">
        <v>1340</v>
      </c>
      <c r="E91" s="3">
        <v>13</v>
      </c>
      <c r="F91" s="3" t="s">
        <v>26</v>
      </c>
      <c r="G91" s="3">
        <v>2500</v>
      </c>
      <c r="H91" s="3">
        <v>4875</v>
      </c>
      <c r="I91" s="3">
        <v>2600</v>
      </c>
      <c r="J91" s="3">
        <v>5.2</v>
      </c>
      <c r="K91" s="3">
        <v>540</v>
      </c>
      <c r="L91" s="3">
        <v>342</v>
      </c>
      <c r="M91" s="3">
        <v>1525</v>
      </c>
      <c r="N91" s="3">
        <v>0</v>
      </c>
      <c r="O91" s="3" t="s">
        <v>19</v>
      </c>
    </row>
    <row r="92" spans="1:15" ht="15" customHeight="1" x14ac:dyDescent="0.45">
      <c r="A92" s="2" t="s">
        <v>102</v>
      </c>
      <c r="B92" s="2" t="s">
        <v>27</v>
      </c>
      <c r="C92" s="2" t="s">
        <v>105</v>
      </c>
      <c r="D92" s="2">
        <v>1460</v>
      </c>
      <c r="E92" s="2">
        <v>18</v>
      </c>
      <c r="F92" s="2" t="s">
        <v>29</v>
      </c>
      <c r="G92" s="2">
        <v>3000</v>
      </c>
      <c r="H92" s="2">
        <v>8100</v>
      </c>
      <c r="I92" s="2">
        <v>4320</v>
      </c>
      <c r="J92" s="2">
        <v>7.2</v>
      </c>
      <c r="K92" s="2">
        <v>580</v>
      </c>
      <c r="L92" s="2">
        <v>379</v>
      </c>
      <c r="M92" s="2">
        <v>1643</v>
      </c>
      <c r="N92" s="2">
        <v>0</v>
      </c>
      <c r="O92" s="2" t="s">
        <v>19</v>
      </c>
    </row>
    <row r="93" spans="1:15" ht="15" customHeight="1" x14ac:dyDescent="0.45">
      <c r="A93" s="3" t="s">
        <v>102</v>
      </c>
      <c r="B93" s="3" t="s">
        <v>30</v>
      </c>
      <c r="C93" s="3" t="s">
        <v>106</v>
      </c>
      <c r="D93" s="3">
        <v>1580</v>
      </c>
      <c r="E93" s="3">
        <v>25</v>
      </c>
      <c r="F93" s="3" t="s">
        <v>32</v>
      </c>
      <c r="G93" s="3">
        <v>400</v>
      </c>
      <c r="H93" s="3">
        <v>1500</v>
      </c>
      <c r="I93" s="3">
        <v>800</v>
      </c>
      <c r="J93" s="3">
        <v>10</v>
      </c>
      <c r="K93" s="3">
        <v>620</v>
      </c>
      <c r="L93" s="3">
        <v>416</v>
      </c>
      <c r="M93" s="3">
        <v>1759</v>
      </c>
      <c r="N93" s="3">
        <v>0</v>
      </c>
      <c r="O93" s="3" t="s">
        <v>19</v>
      </c>
    </row>
    <row r="94" spans="1:15" ht="15" customHeight="1" x14ac:dyDescent="0.45">
      <c r="A94" s="2" t="s">
        <v>102</v>
      </c>
      <c r="B94" s="2" t="s">
        <v>33</v>
      </c>
      <c r="C94" s="2" t="s">
        <v>107</v>
      </c>
      <c r="D94" s="2">
        <v>1700</v>
      </c>
      <c r="E94" s="2">
        <v>17</v>
      </c>
      <c r="F94" s="2" t="s">
        <v>18</v>
      </c>
      <c r="G94" s="2">
        <v>12000</v>
      </c>
      <c r="H94" s="2">
        <v>30600</v>
      </c>
      <c r="I94" s="2">
        <v>16320</v>
      </c>
      <c r="J94" s="2">
        <v>6.8</v>
      </c>
      <c r="K94" s="2">
        <v>660</v>
      </c>
      <c r="L94" s="2">
        <v>453</v>
      </c>
      <c r="M94" s="2">
        <v>1890</v>
      </c>
      <c r="N94" s="2">
        <v>0</v>
      </c>
      <c r="O94" s="2" t="s">
        <v>19</v>
      </c>
    </row>
    <row r="95" spans="1:15" ht="15" customHeight="1" x14ac:dyDescent="0.45">
      <c r="A95" s="3" t="s">
        <v>108</v>
      </c>
      <c r="B95" s="3" t="s">
        <v>16</v>
      </c>
      <c r="C95" s="3" t="s">
        <v>109</v>
      </c>
      <c r="D95" s="3">
        <v>995</v>
      </c>
      <c r="E95" s="3">
        <v>9</v>
      </c>
      <c r="F95" s="3" t="s">
        <v>21</v>
      </c>
      <c r="G95" s="3">
        <v>450</v>
      </c>
      <c r="H95" s="3">
        <v>608</v>
      </c>
      <c r="I95" s="3">
        <v>324</v>
      </c>
      <c r="J95" s="3">
        <v>3.6</v>
      </c>
      <c r="K95" s="3">
        <v>430</v>
      </c>
      <c r="L95" s="3">
        <v>236</v>
      </c>
      <c r="M95" s="3">
        <v>1180</v>
      </c>
      <c r="N95" s="3">
        <v>500</v>
      </c>
      <c r="O95" s="3" t="s">
        <v>67</v>
      </c>
    </row>
    <row r="96" spans="1:15" ht="15" customHeight="1" x14ac:dyDescent="0.45">
      <c r="A96" s="2" t="s">
        <v>108</v>
      </c>
      <c r="B96" s="2" t="s">
        <v>20</v>
      </c>
      <c r="C96" s="2" t="s">
        <v>109</v>
      </c>
      <c r="D96" s="2">
        <v>1115</v>
      </c>
      <c r="E96" s="2">
        <v>14</v>
      </c>
      <c r="F96" s="2" t="s">
        <v>24</v>
      </c>
      <c r="G96" s="2">
        <v>120</v>
      </c>
      <c r="H96" s="2">
        <v>280</v>
      </c>
      <c r="I96" s="2">
        <v>140</v>
      </c>
      <c r="J96" s="2">
        <v>5.6</v>
      </c>
      <c r="K96" s="2">
        <v>470</v>
      </c>
      <c r="L96" s="2">
        <v>273</v>
      </c>
      <c r="M96" s="2">
        <v>1298</v>
      </c>
      <c r="N96" s="2">
        <v>0</v>
      </c>
      <c r="O96" s="2" t="s">
        <v>19</v>
      </c>
    </row>
    <row r="97" spans="1:15" ht="15" customHeight="1" x14ac:dyDescent="0.45">
      <c r="A97" s="3" t="s">
        <v>108</v>
      </c>
      <c r="B97" s="3" t="s">
        <v>22</v>
      </c>
      <c r="C97" s="3" t="s">
        <v>110</v>
      </c>
      <c r="D97" s="3">
        <v>1235</v>
      </c>
      <c r="E97" s="3">
        <v>19</v>
      </c>
      <c r="F97" s="3" t="s">
        <v>26</v>
      </c>
      <c r="G97" s="3">
        <v>950</v>
      </c>
      <c r="H97" s="3">
        <v>2708</v>
      </c>
      <c r="I97" s="3">
        <v>1444</v>
      </c>
      <c r="J97" s="3">
        <v>7.6</v>
      </c>
      <c r="K97" s="3">
        <v>510</v>
      </c>
      <c r="L97" s="3">
        <v>310</v>
      </c>
      <c r="M97" s="3">
        <v>1416</v>
      </c>
      <c r="N97" s="3">
        <v>0</v>
      </c>
      <c r="O97" s="3" t="s">
        <v>19</v>
      </c>
    </row>
    <row r="98" spans="1:15" ht="15" customHeight="1" x14ac:dyDescent="0.45">
      <c r="A98" s="2" t="s">
        <v>108</v>
      </c>
      <c r="B98" s="2" t="s">
        <v>25</v>
      </c>
      <c r="C98" s="2" t="s">
        <v>109</v>
      </c>
      <c r="D98" s="2">
        <v>1355</v>
      </c>
      <c r="E98" s="2">
        <v>13</v>
      </c>
      <c r="F98" s="2" t="s">
        <v>29</v>
      </c>
      <c r="G98" s="2">
        <v>2500</v>
      </c>
      <c r="H98" s="2">
        <v>4875</v>
      </c>
      <c r="I98" s="2">
        <v>2600</v>
      </c>
      <c r="J98" s="2">
        <v>5.2</v>
      </c>
      <c r="K98" s="2">
        <v>550</v>
      </c>
      <c r="L98" s="2">
        <v>347</v>
      </c>
      <c r="M98" s="2">
        <v>1545</v>
      </c>
      <c r="N98" s="2">
        <v>0</v>
      </c>
      <c r="O98" s="2" t="s">
        <v>19</v>
      </c>
    </row>
    <row r="99" spans="1:15" ht="15" customHeight="1" x14ac:dyDescent="0.45">
      <c r="A99" s="3" t="s">
        <v>108</v>
      </c>
      <c r="B99" s="3" t="s">
        <v>27</v>
      </c>
      <c r="C99" s="3" t="s">
        <v>111</v>
      </c>
      <c r="D99" s="3">
        <v>1475</v>
      </c>
      <c r="E99" s="3">
        <v>19</v>
      </c>
      <c r="F99" s="3" t="s">
        <v>32</v>
      </c>
      <c r="G99" s="3">
        <v>3000</v>
      </c>
      <c r="H99" s="3">
        <v>8550</v>
      </c>
      <c r="I99" s="3">
        <v>4560</v>
      </c>
      <c r="J99" s="3">
        <v>7.6</v>
      </c>
      <c r="K99" s="3">
        <v>590</v>
      </c>
      <c r="L99" s="3">
        <v>384</v>
      </c>
      <c r="M99" s="3">
        <v>1662</v>
      </c>
      <c r="N99" s="3">
        <v>0</v>
      </c>
      <c r="O99" s="3" t="s">
        <v>19</v>
      </c>
    </row>
    <row r="100" spans="1:15" ht="15" customHeight="1" x14ac:dyDescent="0.45">
      <c r="A100" s="2" t="s">
        <v>108</v>
      </c>
      <c r="B100" s="2" t="s">
        <v>30</v>
      </c>
      <c r="C100" s="2" t="s">
        <v>112</v>
      </c>
      <c r="D100" s="2">
        <v>1595</v>
      </c>
      <c r="E100" s="2">
        <v>25</v>
      </c>
      <c r="F100" s="2" t="s">
        <v>18</v>
      </c>
      <c r="G100" s="2">
        <v>400</v>
      </c>
      <c r="H100" s="2">
        <v>1500</v>
      </c>
      <c r="I100" s="2">
        <v>800</v>
      </c>
      <c r="J100" s="2">
        <v>10</v>
      </c>
      <c r="K100" s="2">
        <v>630</v>
      </c>
      <c r="L100" s="2">
        <v>421</v>
      </c>
      <c r="M100" s="2">
        <v>1779</v>
      </c>
      <c r="N100" s="2">
        <v>0</v>
      </c>
      <c r="O100" s="2" t="s">
        <v>19</v>
      </c>
    </row>
    <row r="101" spans="1:15" ht="15" customHeight="1" x14ac:dyDescent="0.45">
      <c r="A101" s="3" t="s">
        <v>108</v>
      </c>
      <c r="B101" s="3" t="s">
        <v>33</v>
      </c>
      <c r="C101" s="3" t="s">
        <v>113</v>
      </c>
      <c r="D101" s="3">
        <v>1715</v>
      </c>
      <c r="E101" s="3">
        <v>17</v>
      </c>
      <c r="F101" s="3" t="s">
        <v>21</v>
      </c>
      <c r="G101" s="3">
        <v>12000</v>
      </c>
      <c r="H101" s="3">
        <v>30600</v>
      </c>
      <c r="I101" s="3">
        <v>16320</v>
      </c>
      <c r="J101" s="3">
        <v>6.8</v>
      </c>
      <c r="K101" s="3">
        <v>670</v>
      </c>
      <c r="L101" s="3">
        <v>458</v>
      </c>
      <c r="M101" s="3">
        <v>1910</v>
      </c>
      <c r="N101" s="3">
        <v>0</v>
      </c>
      <c r="O101" s="3" t="s">
        <v>19</v>
      </c>
    </row>
    <row r="102" spans="1:15" ht="15" customHeight="1" x14ac:dyDescent="0.45">
      <c r="A102" s="2" t="s">
        <v>114</v>
      </c>
      <c r="B102" s="2" t="s">
        <v>16</v>
      </c>
      <c r="C102" s="2" t="s">
        <v>115</v>
      </c>
      <c r="D102" s="2">
        <v>1010</v>
      </c>
      <c r="E102" s="2">
        <v>10</v>
      </c>
      <c r="F102" s="2" t="s">
        <v>24</v>
      </c>
      <c r="G102" s="2">
        <v>450</v>
      </c>
      <c r="H102" s="2">
        <v>675</v>
      </c>
      <c r="I102" s="2">
        <v>360</v>
      </c>
      <c r="J102" s="2">
        <v>4</v>
      </c>
      <c r="K102" s="2">
        <v>440</v>
      </c>
      <c r="L102" s="2">
        <v>242</v>
      </c>
      <c r="M102" s="2">
        <v>1198</v>
      </c>
      <c r="N102" s="2">
        <v>500</v>
      </c>
      <c r="O102" s="2" t="s">
        <v>19</v>
      </c>
    </row>
    <row r="103" spans="1:15" ht="15" customHeight="1" x14ac:dyDescent="0.45">
      <c r="A103" s="3" t="s">
        <v>114</v>
      </c>
      <c r="B103" s="3" t="s">
        <v>20</v>
      </c>
      <c r="C103" s="3" t="s">
        <v>115</v>
      </c>
      <c r="D103" s="3">
        <v>1130</v>
      </c>
      <c r="E103" s="3">
        <v>14</v>
      </c>
      <c r="F103" s="3" t="s">
        <v>26</v>
      </c>
      <c r="G103" s="3">
        <v>120</v>
      </c>
      <c r="H103" s="3">
        <v>280</v>
      </c>
      <c r="I103" s="3">
        <v>140</v>
      </c>
      <c r="J103" s="3">
        <v>5.6</v>
      </c>
      <c r="K103" s="3">
        <v>480</v>
      </c>
      <c r="L103" s="3">
        <v>279</v>
      </c>
      <c r="M103" s="3">
        <v>1317</v>
      </c>
      <c r="N103" s="3">
        <v>0</v>
      </c>
      <c r="O103" s="3" t="s">
        <v>19</v>
      </c>
    </row>
    <row r="104" spans="1:15" ht="15" customHeight="1" x14ac:dyDescent="0.45">
      <c r="A104" s="2" t="s">
        <v>114</v>
      </c>
      <c r="B104" s="2" t="s">
        <v>22</v>
      </c>
      <c r="C104" s="2" t="s">
        <v>116</v>
      </c>
      <c r="D104" s="2">
        <v>1250</v>
      </c>
      <c r="E104" s="2">
        <v>20</v>
      </c>
      <c r="F104" s="2" t="s">
        <v>29</v>
      </c>
      <c r="G104" s="2">
        <v>950</v>
      </c>
      <c r="H104" s="2">
        <v>2850</v>
      </c>
      <c r="I104" s="2">
        <v>1520</v>
      </c>
      <c r="J104" s="2">
        <v>8</v>
      </c>
      <c r="K104" s="2">
        <v>520</v>
      </c>
      <c r="L104" s="2">
        <v>316</v>
      </c>
      <c r="M104" s="2">
        <v>1434</v>
      </c>
      <c r="N104" s="2">
        <v>0</v>
      </c>
      <c r="O104" s="2" t="s">
        <v>19</v>
      </c>
    </row>
    <row r="105" spans="1:15" ht="15" customHeight="1" x14ac:dyDescent="0.45">
      <c r="A105" s="3" t="s">
        <v>114</v>
      </c>
      <c r="B105" s="3" t="s">
        <v>25</v>
      </c>
      <c r="C105" s="3" t="s">
        <v>115</v>
      </c>
      <c r="D105" s="3">
        <v>1370</v>
      </c>
      <c r="E105" s="3">
        <v>13</v>
      </c>
      <c r="F105" s="3" t="s">
        <v>32</v>
      </c>
      <c r="G105" s="3">
        <v>2500</v>
      </c>
      <c r="H105" s="3">
        <v>4875</v>
      </c>
      <c r="I105" s="3">
        <v>2600</v>
      </c>
      <c r="J105" s="3">
        <v>5.2</v>
      </c>
      <c r="K105" s="3">
        <v>560</v>
      </c>
      <c r="L105" s="3">
        <v>353</v>
      </c>
      <c r="M105" s="3">
        <v>1564</v>
      </c>
      <c r="N105" s="3">
        <v>0</v>
      </c>
      <c r="O105" s="3" t="s">
        <v>19</v>
      </c>
    </row>
    <row r="106" spans="1:15" ht="15" customHeight="1" x14ac:dyDescent="0.45">
      <c r="A106" s="2" t="s">
        <v>114</v>
      </c>
      <c r="B106" s="2" t="s">
        <v>27</v>
      </c>
      <c r="C106" s="2" t="s">
        <v>117</v>
      </c>
      <c r="D106" s="2">
        <v>1490</v>
      </c>
      <c r="E106" s="2">
        <v>19</v>
      </c>
      <c r="F106" s="2" t="s">
        <v>18</v>
      </c>
      <c r="G106" s="2">
        <v>3000</v>
      </c>
      <c r="H106" s="2">
        <v>8550</v>
      </c>
      <c r="I106" s="2">
        <v>4560</v>
      </c>
      <c r="J106" s="2">
        <v>7.6</v>
      </c>
      <c r="K106" s="2">
        <v>600</v>
      </c>
      <c r="L106" s="2">
        <v>390</v>
      </c>
      <c r="M106" s="2">
        <v>1681</v>
      </c>
      <c r="N106" s="2">
        <v>0</v>
      </c>
      <c r="O106" s="2" t="s">
        <v>19</v>
      </c>
    </row>
    <row r="107" spans="1:15" ht="15" customHeight="1" x14ac:dyDescent="0.45">
      <c r="A107" s="3" t="s">
        <v>114</v>
      </c>
      <c r="B107" s="3" t="s">
        <v>30</v>
      </c>
      <c r="C107" s="3" t="s">
        <v>118</v>
      </c>
      <c r="D107" s="3">
        <v>1610</v>
      </c>
      <c r="E107" s="3">
        <v>25</v>
      </c>
      <c r="F107" s="3" t="s">
        <v>21</v>
      </c>
      <c r="G107" s="3">
        <v>400</v>
      </c>
      <c r="H107" s="3">
        <v>1500</v>
      </c>
      <c r="I107" s="3">
        <v>800</v>
      </c>
      <c r="J107" s="3">
        <v>10</v>
      </c>
      <c r="K107" s="3">
        <v>640</v>
      </c>
      <c r="L107" s="3">
        <v>427</v>
      </c>
      <c r="M107" s="3">
        <v>1798</v>
      </c>
      <c r="N107" s="3">
        <v>0</v>
      </c>
      <c r="O107" s="3" t="s">
        <v>19</v>
      </c>
    </row>
    <row r="108" spans="1:15" ht="15" customHeight="1" x14ac:dyDescent="0.45">
      <c r="A108" s="2" t="s">
        <v>114</v>
      </c>
      <c r="B108" s="2" t="s">
        <v>33</v>
      </c>
      <c r="C108" s="2" t="s">
        <v>119</v>
      </c>
      <c r="D108" s="2">
        <v>1730</v>
      </c>
      <c r="E108" s="2">
        <v>17</v>
      </c>
      <c r="F108" s="2" t="s">
        <v>24</v>
      </c>
      <c r="G108" s="2">
        <v>12000</v>
      </c>
      <c r="H108" s="2">
        <v>30600</v>
      </c>
      <c r="I108" s="2">
        <v>16320</v>
      </c>
      <c r="J108" s="2">
        <v>6.8</v>
      </c>
      <c r="K108" s="2">
        <v>680</v>
      </c>
      <c r="L108" s="2">
        <v>464</v>
      </c>
      <c r="M108" s="2">
        <v>1929</v>
      </c>
      <c r="N108" s="2">
        <v>0</v>
      </c>
      <c r="O108" s="2" t="s">
        <v>19</v>
      </c>
    </row>
    <row r="109" spans="1:15" ht="15" customHeight="1" x14ac:dyDescent="0.45">
      <c r="A109" s="3" t="s">
        <v>120</v>
      </c>
      <c r="B109" s="3" t="s">
        <v>16</v>
      </c>
      <c r="C109" s="3" t="s">
        <v>121</v>
      </c>
      <c r="D109" s="3">
        <v>1025</v>
      </c>
      <c r="E109" s="3">
        <v>10</v>
      </c>
      <c r="F109" s="3" t="s">
        <v>26</v>
      </c>
      <c r="G109" s="3">
        <v>450</v>
      </c>
      <c r="H109" s="3">
        <v>675</v>
      </c>
      <c r="I109" s="3">
        <v>360</v>
      </c>
      <c r="J109" s="3">
        <v>4</v>
      </c>
      <c r="K109" s="3">
        <v>450</v>
      </c>
      <c r="L109" s="3">
        <v>247</v>
      </c>
      <c r="M109" s="3">
        <v>1218</v>
      </c>
      <c r="N109" s="3">
        <v>0</v>
      </c>
      <c r="O109" s="3" t="s">
        <v>19</v>
      </c>
    </row>
    <row r="110" spans="1:15" ht="15" customHeight="1" x14ac:dyDescent="0.45">
      <c r="A110" s="2" t="s">
        <v>120</v>
      </c>
      <c r="B110" s="2" t="s">
        <v>20</v>
      </c>
      <c r="C110" s="2" t="s">
        <v>121</v>
      </c>
      <c r="D110" s="2">
        <v>1145</v>
      </c>
      <c r="E110" s="2">
        <v>14</v>
      </c>
      <c r="F110" s="2" t="s">
        <v>29</v>
      </c>
      <c r="G110" s="2">
        <v>120</v>
      </c>
      <c r="H110" s="2">
        <v>280</v>
      </c>
      <c r="I110" s="2">
        <v>140</v>
      </c>
      <c r="J110" s="2">
        <v>5.6</v>
      </c>
      <c r="K110" s="2">
        <v>490</v>
      </c>
      <c r="L110" s="2">
        <v>284</v>
      </c>
      <c r="M110" s="2">
        <v>1337</v>
      </c>
      <c r="N110" s="2">
        <v>0</v>
      </c>
      <c r="O110" s="2" t="s">
        <v>19</v>
      </c>
    </row>
    <row r="111" spans="1:15" ht="15" customHeight="1" x14ac:dyDescent="0.45">
      <c r="A111" s="3" t="s">
        <v>120</v>
      </c>
      <c r="B111" s="3" t="s">
        <v>22</v>
      </c>
      <c r="C111" s="3" t="s">
        <v>122</v>
      </c>
      <c r="D111" s="3">
        <v>1265</v>
      </c>
      <c r="E111" s="3">
        <v>20</v>
      </c>
      <c r="F111" s="3" t="s">
        <v>32</v>
      </c>
      <c r="G111" s="3">
        <v>950</v>
      </c>
      <c r="H111" s="3">
        <v>2850</v>
      </c>
      <c r="I111" s="3">
        <v>1520</v>
      </c>
      <c r="J111" s="3">
        <v>8</v>
      </c>
      <c r="K111" s="3">
        <v>530</v>
      </c>
      <c r="L111" s="3">
        <v>321</v>
      </c>
      <c r="M111" s="3">
        <v>1454</v>
      </c>
      <c r="N111" s="3">
        <v>0</v>
      </c>
      <c r="O111" s="3" t="s">
        <v>19</v>
      </c>
    </row>
    <row r="112" spans="1:15" ht="15" customHeight="1" x14ac:dyDescent="0.45">
      <c r="A112" s="2" t="s">
        <v>120</v>
      </c>
      <c r="B112" s="2" t="s">
        <v>25</v>
      </c>
      <c r="C112" s="2" t="s">
        <v>121</v>
      </c>
      <c r="D112" s="2">
        <v>1385</v>
      </c>
      <c r="E112" s="2">
        <v>13</v>
      </c>
      <c r="F112" s="2" t="s">
        <v>18</v>
      </c>
      <c r="G112" s="2">
        <v>2500</v>
      </c>
      <c r="H112" s="2">
        <v>4875</v>
      </c>
      <c r="I112" s="2">
        <v>2600</v>
      </c>
      <c r="J112" s="2">
        <v>5.2</v>
      </c>
      <c r="K112" s="2">
        <v>570</v>
      </c>
      <c r="L112" s="2">
        <v>358</v>
      </c>
      <c r="M112" s="2">
        <v>1584</v>
      </c>
      <c r="N112" s="2">
        <v>0</v>
      </c>
      <c r="O112" s="2" t="s">
        <v>19</v>
      </c>
    </row>
    <row r="113" spans="1:15" ht="15" customHeight="1" x14ac:dyDescent="0.45">
      <c r="A113" s="3" t="s">
        <v>120</v>
      </c>
      <c r="B113" s="3" t="s">
        <v>27</v>
      </c>
      <c r="C113" s="3" t="s">
        <v>123</v>
      </c>
      <c r="D113" s="3">
        <v>1505</v>
      </c>
      <c r="E113" s="3">
        <v>19</v>
      </c>
      <c r="F113" s="3" t="s">
        <v>21</v>
      </c>
      <c r="G113" s="3">
        <v>3000</v>
      </c>
      <c r="H113" s="3">
        <v>8550</v>
      </c>
      <c r="I113" s="3">
        <v>4560</v>
      </c>
      <c r="J113" s="3">
        <v>7.6</v>
      </c>
      <c r="K113" s="3">
        <v>610</v>
      </c>
      <c r="L113" s="3">
        <v>395</v>
      </c>
      <c r="M113" s="3">
        <v>1701</v>
      </c>
      <c r="N113" s="3">
        <v>0</v>
      </c>
      <c r="O113" s="3" t="s">
        <v>19</v>
      </c>
    </row>
    <row r="114" spans="1:15" ht="15" customHeight="1" x14ac:dyDescent="0.45">
      <c r="A114" s="2" t="s">
        <v>120</v>
      </c>
      <c r="B114" s="2" t="s">
        <v>30</v>
      </c>
      <c r="C114" s="2" t="s">
        <v>124</v>
      </c>
      <c r="D114" s="2">
        <v>1625</v>
      </c>
      <c r="E114" s="2">
        <v>26</v>
      </c>
      <c r="F114" s="2" t="s">
        <v>24</v>
      </c>
      <c r="G114" s="2">
        <v>400</v>
      </c>
      <c r="H114" s="2">
        <v>1560</v>
      </c>
      <c r="I114" s="2">
        <v>832</v>
      </c>
      <c r="J114" s="2">
        <v>10.4</v>
      </c>
      <c r="K114" s="2">
        <v>650</v>
      </c>
      <c r="L114" s="2">
        <v>432</v>
      </c>
      <c r="M114" s="2">
        <v>1817</v>
      </c>
      <c r="N114" s="2">
        <v>0</v>
      </c>
      <c r="O114" s="2" t="s">
        <v>19</v>
      </c>
    </row>
    <row r="115" spans="1:15" ht="15" customHeight="1" x14ac:dyDescent="0.45">
      <c r="A115" s="3" t="s">
        <v>120</v>
      </c>
      <c r="B115" s="3" t="s">
        <v>33</v>
      </c>
      <c r="C115" s="3" t="s">
        <v>125</v>
      </c>
      <c r="D115" s="3">
        <v>1745</v>
      </c>
      <c r="E115" s="3">
        <v>17</v>
      </c>
      <c r="F115" s="3" t="s">
        <v>26</v>
      </c>
      <c r="G115" s="3">
        <v>12000</v>
      </c>
      <c r="H115" s="3">
        <v>30600</v>
      </c>
      <c r="I115" s="3">
        <v>16320</v>
      </c>
      <c r="J115" s="3">
        <v>6.8</v>
      </c>
      <c r="K115" s="3">
        <v>690</v>
      </c>
      <c r="L115" s="3">
        <v>469</v>
      </c>
      <c r="M115" s="3">
        <v>1949</v>
      </c>
      <c r="N115" s="3">
        <v>0</v>
      </c>
      <c r="O115" s="3" t="s">
        <v>19</v>
      </c>
    </row>
    <row r="116" spans="1:15" ht="15" customHeight="1" x14ac:dyDescent="0.45">
      <c r="A116" s="2" t="s">
        <v>126</v>
      </c>
      <c r="B116" s="2" t="s">
        <v>16</v>
      </c>
      <c r="C116" s="2" t="s">
        <v>127</v>
      </c>
      <c r="D116" s="2">
        <v>1040</v>
      </c>
      <c r="E116" s="2">
        <v>10</v>
      </c>
      <c r="F116" s="2" t="s">
        <v>29</v>
      </c>
      <c r="G116" s="2">
        <v>450</v>
      </c>
      <c r="H116" s="2">
        <v>675</v>
      </c>
      <c r="I116" s="2">
        <v>360</v>
      </c>
      <c r="J116" s="2">
        <v>4</v>
      </c>
      <c r="K116" s="2">
        <v>460</v>
      </c>
      <c r="L116" s="2">
        <v>253</v>
      </c>
      <c r="M116" s="2">
        <v>1237</v>
      </c>
      <c r="N116" s="2">
        <v>0</v>
      </c>
      <c r="O116" s="2" t="s">
        <v>19</v>
      </c>
    </row>
    <row r="117" spans="1:15" ht="15" customHeight="1" x14ac:dyDescent="0.45">
      <c r="A117" s="3" t="s">
        <v>126</v>
      </c>
      <c r="B117" s="3" t="s">
        <v>20</v>
      </c>
      <c r="C117" s="3" t="s">
        <v>127</v>
      </c>
      <c r="D117" s="3">
        <v>1160</v>
      </c>
      <c r="E117" s="3">
        <v>15</v>
      </c>
      <c r="F117" s="3" t="s">
        <v>32</v>
      </c>
      <c r="G117" s="3">
        <v>120</v>
      </c>
      <c r="H117" s="3">
        <v>300</v>
      </c>
      <c r="I117" s="3">
        <v>150</v>
      </c>
      <c r="J117" s="3">
        <v>6</v>
      </c>
      <c r="K117" s="3">
        <v>500</v>
      </c>
      <c r="L117" s="3">
        <v>290</v>
      </c>
      <c r="M117" s="3">
        <v>1355</v>
      </c>
      <c r="N117" s="3">
        <v>0</v>
      </c>
      <c r="O117" s="3" t="s">
        <v>19</v>
      </c>
    </row>
    <row r="118" spans="1:15" ht="15" customHeight="1" x14ac:dyDescent="0.45">
      <c r="A118" s="2" t="s">
        <v>126</v>
      </c>
      <c r="B118" s="2" t="s">
        <v>22</v>
      </c>
      <c r="C118" s="2" t="s">
        <v>128</v>
      </c>
      <c r="D118" s="2">
        <v>1280</v>
      </c>
      <c r="E118" s="2">
        <v>20</v>
      </c>
      <c r="F118" s="2" t="s">
        <v>18</v>
      </c>
      <c r="G118" s="2">
        <v>950</v>
      </c>
      <c r="H118" s="2">
        <v>2850</v>
      </c>
      <c r="I118" s="2">
        <v>1520</v>
      </c>
      <c r="J118" s="2">
        <v>8</v>
      </c>
      <c r="K118" s="2">
        <v>540</v>
      </c>
      <c r="L118" s="2">
        <v>327</v>
      </c>
      <c r="M118" s="2">
        <v>1473</v>
      </c>
      <c r="N118" s="2">
        <v>0</v>
      </c>
      <c r="O118" s="2" t="s">
        <v>19</v>
      </c>
    </row>
    <row r="119" spans="1:15" ht="15" customHeight="1" x14ac:dyDescent="0.45">
      <c r="A119" s="3" t="s">
        <v>126</v>
      </c>
      <c r="B119" s="3" t="s">
        <v>25</v>
      </c>
      <c r="C119" s="3" t="s">
        <v>127</v>
      </c>
      <c r="D119" s="3">
        <v>1400</v>
      </c>
      <c r="E119" s="3">
        <v>14</v>
      </c>
      <c r="F119" s="3" t="s">
        <v>21</v>
      </c>
      <c r="G119" s="3">
        <v>2500</v>
      </c>
      <c r="H119" s="3">
        <v>5250</v>
      </c>
      <c r="I119" s="3">
        <v>2800</v>
      </c>
      <c r="J119" s="3">
        <v>5.6</v>
      </c>
      <c r="K119" s="3">
        <v>580</v>
      </c>
      <c r="L119" s="3">
        <v>364</v>
      </c>
      <c r="M119" s="3">
        <v>1602</v>
      </c>
      <c r="N119" s="3">
        <v>0</v>
      </c>
      <c r="O119" s="3" t="s">
        <v>19</v>
      </c>
    </row>
    <row r="120" spans="1:15" ht="15" customHeight="1" x14ac:dyDescent="0.45">
      <c r="A120" s="2" t="s">
        <v>126</v>
      </c>
      <c r="B120" s="2" t="s">
        <v>27</v>
      </c>
      <c r="C120" s="2" t="s">
        <v>129</v>
      </c>
      <c r="D120" s="2">
        <v>1520</v>
      </c>
      <c r="E120" s="2">
        <v>19</v>
      </c>
      <c r="F120" s="2" t="s">
        <v>24</v>
      </c>
      <c r="G120" s="2">
        <v>3000</v>
      </c>
      <c r="H120" s="2">
        <v>8550</v>
      </c>
      <c r="I120" s="2">
        <v>4560</v>
      </c>
      <c r="J120" s="2">
        <v>7.6</v>
      </c>
      <c r="K120" s="2">
        <v>620</v>
      </c>
      <c r="L120" s="2">
        <v>401</v>
      </c>
      <c r="M120" s="2">
        <v>1720</v>
      </c>
      <c r="N120" s="2">
        <v>0</v>
      </c>
      <c r="O120" s="2" t="s">
        <v>19</v>
      </c>
    </row>
    <row r="121" spans="1:15" ht="15" customHeight="1" x14ac:dyDescent="0.45">
      <c r="A121" s="3" t="s">
        <v>126</v>
      </c>
      <c r="B121" s="3" t="s">
        <v>30</v>
      </c>
      <c r="C121" s="3" t="s">
        <v>130</v>
      </c>
      <c r="D121" s="3">
        <v>1640</v>
      </c>
      <c r="E121" s="3">
        <v>26</v>
      </c>
      <c r="F121" s="3" t="s">
        <v>26</v>
      </c>
      <c r="G121" s="3">
        <v>400</v>
      </c>
      <c r="H121" s="3">
        <v>1560</v>
      </c>
      <c r="I121" s="3">
        <v>832</v>
      </c>
      <c r="J121" s="3">
        <v>10.4</v>
      </c>
      <c r="K121" s="3">
        <v>660</v>
      </c>
      <c r="L121" s="3">
        <v>438</v>
      </c>
      <c r="M121" s="3">
        <v>1836</v>
      </c>
      <c r="N121" s="3">
        <v>0</v>
      </c>
      <c r="O121" s="3" t="s">
        <v>19</v>
      </c>
    </row>
    <row r="122" spans="1:15" ht="15" customHeight="1" x14ac:dyDescent="0.45">
      <c r="A122" s="2" t="s">
        <v>126</v>
      </c>
      <c r="B122" s="2" t="s">
        <v>33</v>
      </c>
      <c r="C122" s="2" t="s">
        <v>131</v>
      </c>
      <c r="D122" s="2">
        <v>1760</v>
      </c>
      <c r="E122" s="2">
        <v>17</v>
      </c>
      <c r="F122" s="2" t="s">
        <v>29</v>
      </c>
      <c r="G122" s="2">
        <v>12000</v>
      </c>
      <c r="H122" s="2">
        <v>30600</v>
      </c>
      <c r="I122" s="2">
        <v>16320</v>
      </c>
      <c r="J122" s="2">
        <v>6.8</v>
      </c>
      <c r="K122" s="2">
        <v>700</v>
      </c>
      <c r="L122" s="2">
        <v>475</v>
      </c>
      <c r="M122" s="2">
        <v>1968</v>
      </c>
      <c r="N122" s="2">
        <v>0</v>
      </c>
      <c r="O122" s="2" t="s">
        <v>19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workbookViewId="0">
      <selection sqref="A1:F1"/>
    </sheetView>
  </sheetViews>
  <sheetFormatPr defaultRowHeight="14.25" x14ac:dyDescent="0.45"/>
  <cols>
    <col min="1" max="1" width="28" customWidth="1"/>
    <col min="2" max="2" width="32.265625" customWidth="1"/>
    <col min="3" max="4" width="22" customWidth="1"/>
    <col min="5" max="6" width="18" customWidth="1"/>
  </cols>
  <sheetData>
    <row r="1" spans="1:6" ht="28.05" customHeight="1" x14ac:dyDescent="0.45">
      <c r="A1" s="17" t="s">
        <v>364</v>
      </c>
      <c r="B1" s="18"/>
      <c r="C1" s="18"/>
      <c r="D1" s="18"/>
      <c r="E1" s="18"/>
      <c r="F1" s="18"/>
    </row>
    <row r="2" spans="1:6" ht="13.9" customHeight="1" x14ac:dyDescent="0.45"/>
    <row r="3" spans="1:6" ht="22.05" customHeight="1" x14ac:dyDescent="0.45">
      <c r="A3" s="21" t="s">
        <v>132</v>
      </c>
      <c r="B3" s="18"/>
      <c r="C3" s="18"/>
      <c r="D3" s="18"/>
      <c r="E3" s="18"/>
      <c r="F3" s="18"/>
    </row>
    <row r="4" spans="1:6" ht="4.05" customHeight="1" x14ac:dyDescent="0.45"/>
    <row r="5" spans="1:6" ht="18" customHeight="1" x14ac:dyDescent="0.45">
      <c r="A5" s="4" t="s">
        <v>133</v>
      </c>
      <c r="B5" s="4" t="s">
        <v>134</v>
      </c>
    </row>
    <row r="6" spans="1:6" ht="16.05" customHeight="1" x14ac:dyDescent="0.45">
      <c r="A6" s="5" t="s">
        <v>135</v>
      </c>
      <c r="B6" s="5" t="s">
        <v>136</v>
      </c>
    </row>
    <row r="7" spans="1:6" ht="16.05" customHeight="1" x14ac:dyDescent="0.45">
      <c r="A7" s="6" t="s">
        <v>137</v>
      </c>
      <c r="B7" s="6" t="s">
        <v>138</v>
      </c>
    </row>
    <row r="8" spans="1:6" ht="16.05" customHeight="1" x14ac:dyDescent="0.45">
      <c r="A8" s="5" t="s">
        <v>139</v>
      </c>
      <c r="B8" s="5" t="s">
        <v>140</v>
      </c>
    </row>
    <row r="9" spans="1:6" ht="16.05" customHeight="1" x14ac:dyDescent="0.45">
      <c r="A9" s="6" t="s">
        <v>141</v>
      </c>
      <c r="B9" s="6" t="s">
        <v>142</v>
      </c>
    </row>
    <row r="10" spans="1:6" ht="16.05" customHeight="1" x14ac:dyDescent="0.45">
      <c r="A10" s="5" t="s">
        <v>143</v>
      </c>
      <c r="B10" s="5" t="s">
        <v>144</v>
      </c>
    </row>
    <row r="11" spans="1:6" ht="16.05" customHeight="1" x14ac:dyDescent="0.45">
      <c r="A11" s="6" t="s">
        <v>145</v>
      </c>
      <c r="B11" s="6" t="s">
        <v>146</v>
      </c>
    </row>
    <row r="12" spans="1:6" ht="16.05" customHeight="1" x14ac:dyDescent="0.45">
      <c r="A12" s="5" t="s">
        <v>147</v>
      </c>
      <c r="B12" s="5" t="s">
        <v>148</v>
      </c>
    </row>
    <row r="13" spans="1:6" ht="34.9" customHeight="1" x14ac:dyDescent="0.45">
      <c r="A13" s="6" t="s">
        <v>149</v>
      </c>
      <c r="B13" s="6" t="s">
        <v>150</v>
      </c>
    </row>
    <row r="14" spans="1:6" ht="16.05" customHeight="1" x14ac:dyDescent="0.45">
      <c r="A14" s="5" t="s">
        <v>151</v>
      </c>
      <c r="B14" s="5" t="s">
        <v>152</v>
      </c>
    </row>
    <row r="15" spans="1:6" ht="10.050000000000001" customHeight="1" x14ac:dyDescent="0.45"/>
    <row r="16" spans="1:6" ht="22.05" customHeight="1" x14ac:dyDescent="0.45">
      <c r="A16" s="21" t="s">
        <v>153</v>
      </c>
      <c r="B16" s="18"/>
      <c r="C16" s="18"/>
      <c r="D16" s="18"/>
      <c r="E16" s="18"/>
      <c r="F16" s="18"/>
    </row>
    <row r="17" spans="1:6" ht="4.05" customHeight="1" x14ac:dyDescent="0.45"/>
    <row r="18" spans="1:6" ht="20" customHeight="1" x14ac:dyDescent="0.45">
      <c r="A18" s="4" t="s">
        <v>154</v>
      </c>
      <c r="B18" s="4" t="s">
        <v>155</v>
      </c>
      <c r="C18" s="4" t="s">
        <v>151</v>
      </c>
      <c r="D18" s="4" t="s">
        <v>156</v>
      </c>
      <c r="E18" s="4" t="s">
        <v>157</v>
      </c>
      <c r="F18" s="4" t="s">
        <v>158</v>
      </c>
    </row>
    <row r="19" spans="1:6" ht="31.9" customHeight="1" x14ac:dyDescent="0.45">
      <c r="A19" s="5" t="s">
        <v>0</v>
      </c>
      <c r="B19" s="5" t="s">
        <v>159</v>
      </c>
      <c r="C19" s="5" t="s">
        <v>160</v>
      </c>
      <c r="D19" s="5" t="s">
        <v>161</v>
      </c>
      <c r="E19" s="5" t="s">
        <v>162</v>
      </c>
      <c r="F19" s="5" t="s">
        <v>163</v>
      </c>
    </row>
    <row r="20" spans="1:6" ht="29.25" customHeight="1" x14ac:dyDescent="0.45">
      <c r="A20" s="6" t="s">
        <v>1</v>
      </c>
      <c r="B20" s="6" t="s">
        <v>164</v>
      </c>
      <c r="C20" s="6" t="s">
        <v>165</v>
      </c>
      <c r="D20" s="6" t="s">
        <v>166</v>
      </c>
      <c r="E20" s="6" t="s">
        <v>162</v>
      </c>
      <c r="F20" s="6" t="s">
        <v>167</v>
      </c>
    </row>
    <row r="21" spans="1:6" ht="36.4" customHeight="1" x14ac:dyDescent="0.45">
      <c r="A21" s="5" t="s">
        <v>2</v>
      </c>
      <c r="B21" s="5" t="s">
        <v>168</v>
      </c>
      <c r="C21" s="5" t="s">
        <v>165</v>
      </c>
      <c r="D21" s="5" t="s">
        <v>169</v>
      </c>
      <c r="E21" s="5" t="s">
        <v>170</v>
      </c>
      <c r="F21" s="5" t="s">
        <v>171</v>
      </c>
    </row>
    <row r="22" spans="1:6" ht="35.25" customHeight="1" x14ac:dyDescent="0.45">
      <c r="A22" s="6" t="s">
        <v>3</v>
      </c>
      <c r="B22" s="6" t="s">
        <v>172</v>
      </c>
      <c r="C22" s="6" t="s">
        <v>173</v>
      </c>
      <c r="D22" s="6" t="s">
        <v>174</v>
      </c>
      <c r="E22" s="6" t="s">
        <v>170</v>
      </c>
      <c r="F22" s="6" t="s">
        <v>171</v>
      </c>
    </row>
    <row r="23" spans="1:6" ht="40.9" customHeight="1" x14ac:dyDescent="0.45">
      <c r="A23" s="5" t="s">
        <v>4</v>
      </c>
      <c r="B23" s="5" t="s">
        <v>175</v>
      </c>
      <c r="C23" s="5" t="s">
        <v>173</v>
      </c>
      <c r="D23" s="5" t="s">
        <v>176</v>
      </c>
      <c r="E23" s="5" t="s">
        <v>170</v>
      </c>
      <c r="F23" s="5" t="s">
        <v>177</v>
      </c>
    </row>
    <row r="24" spans="1:6" ht="27" customHeight="1" x14ac:dyDescent="0.45">
      <c r="A24" s="6" t="s">
        <v>5</v>
      </c>
      <c r="B24" s="6" t="s">
        <v>178</v>
      </c>
      <c r="C24" s="6" t="s">
        <v>165</v>
      </c>
      <c r="D24" s="6" t="s">
        <v>179</v>
      </c>
      <c r="E24" s="6" t="s">
        <v>170</v>
      </c>
      <c r="F24" s="6" t="s">
        <v>180</v>
      </c>
    </row>
    <row r="25" spans="1:6" ht="27" customHeight="1" x14ac:dyDescent="0.45">
      <c r="A25" s="5" t="s">
        <v>6</v>
      </c>
      <c r="B25" s="5" t="s">
        <v>181</v>
      </c>
      <c r="C25" s="5" t="s">
        <v>173</v>
      </c>
      <c r="D25" s="5" t="s">
        <v>182</v>
      </c>
      <c r="E25" s="5" t="s">
        <v>183</v>
      </c>
      <c r="F25" s="5" t="s">
        <v>184</v>
      </c>
    </row>
    <row r="26" spans="1:6" ht="33" customHeight="1" x14ac:dyDescent="0.45">
      <c r="A26" s="6" t="s">
        <v>7</v>
      </c>
      <c r="B26" s="6" t="s">
        <v>185</v>
      </c>
      <c r="C26" s="6" t="s">
        <v>173</v>
      </c>
      <c r="D26" s="6" t="s">
        <v>186</v>
      </c>
      <c r="E26" s="6" t="s">
        <v>183</v>
      </c>
      <c r="F26" s="6" t="s">
        <v>184</v>
      </c>
    </row>
    <row r="27" spans="1:6" ht="27.75" customHeight="1" x14ac:dyDescent="0.45">
      <c r="A27" s="5" t="s">
        <v>8</v>
      </c>
      <c r="B27" s="5" t="s">
        <v>187</v>
      </c>
      <c r="C27" s="5" t="s">
        <v>173</v>
      </c>
      <c r="D27" s="5" t="s">
        <v>186</v>
      </c>
      <c r="E27" s="5" t="s">
        <v>183</v>
      </c>
      <c r="F27" s="5" t="s">
        <v>184</v>
      </c>
    </row>
    <row r="28" spans="1:6" ht="21.4" customHeight="1" x14ac:dyDescent="0.45">
      <c r="A28" s="6" t="s">
        <v>9</v>
      </c>
      <c r="B28" s="6" t="s">
        <v>188</v>
      </c>
      <c r="C28" s="6" t="s">
        <v>189</v>
      </c>
      <c r="D28" s="6" t="s">
        <v>190</v>
      </c>
      <c r="E28" s="6" t="s">
        <v>183</v>
      </c>
      <c r="F28" s="6" t="s">
        <v>171</v>
      </c>
    </row>
    <row r="29" spans="1:6" ht="24.4" customHeight="1" x14ac:dyDescent="0.45">
      <c r="A29" s="5" t="s">
        <v>10</v>
      </c>
      <c r="B29" s="5" t="s">
        <v>191</v>
      </c>
      <c r="C29" s="5" t="s">
        <v>173</v>
      </c>
      <c r="D29" s="5" t="s">
        <v>192</v>
      </c>
      <c r="E29" s="5" t="s">
        <v>193</v>
      </c>
      <c r="F29" s="5" t="s">
        <v>194</v>
      </c>
    </row>
    <row r="30" spans="1:6" ht="27" customHeight="1" x14ac:dyDescent="0.45">
      <c r="A30" s="6" t="s">
        <v>11</v>
      </c>
      <c r="B30" s="6" t="s">
        <v>195</v>
      </c>
      <c r="C30" s="6" t="s">
        <v>173</v>
      </c>
      <c r="D30" s="6" t="s">
        <v>196</v>
      </c>
      <c r="E30" s="6" t="s">
        <v>193</v>
      </c>
      <c r="F30" s="6" t="s">
        <v>197</v>
      </c>
    </row>
    <row r="31" spans="1:6" ht="26.65" customHeight="1" x14ac:dyDescent="0.45">
      <c r="A31" s="5" t="s">
        <v>12</v>
      </c>
      <c r="B31" s="5" t="s">
        <v>198</v>
      </c>
      <c r="C31" s="5" t="s">
        <v>173</v>
      </c>
      <c r="D31" s="5" t="s">
        <v>199</v>
      </c>
      <c r="E31" s="5" t="s">
        <v>193</v>
      </c>
      <c r="F31" s="5" t="s">
        <v>194</v>
      </c>
    </row>
    <row r="32" spans="1:6" ht="28.15" customHeight="1" x14ac:dyDescent="0.45">
      <c r="A32" s="6" t="s">
        <v>13</v>
      </c>
      <c r="B32" s="6" t="s">
        <v>200</v>
      </c>
      <c r="C32" s="6" t="s">
        <v>173</v>
      </c>
      <c r="D32" s="6" t="s">
        <v>201</v>
      </c>
      <c r="E32" s="6" t="s">
        <v>193</v>
      </c>
      <c r="F32" s="6" t="s">
        <v>202</v>
      </c>
    </row>
    <row r="33" spans="1:6" ht="28.15" customHeight="1" x14ac:dyDescent="0.45">
      <c r="A33" s="5" t="s">
        <v>14</v>
      </c>
      <c r="B33" s="5" t="s">
        <v>203</v>
      </c>
      <c r="C33" s="5" t="s">
        <v>204</v>
      </c>
      <c r="D33" s="5" t="s">
        <v>205</v>
      </c>
      <c r="E33" s="5" t="s">
        <v>193</v>
      </c>
      <c r="F33" s="5" t="s">
        <v>194</v>
      </c>
    </row>
    <row r="34" spans="1:6" ht="15" customHeight="1" x14ac:dyDescent="0.45"/>
    <row r="35" spans="1:6" ht="22.05" customHeight="1" x14ac:dyDescent="0.45">
      <c r="A35" s="21" t="s">
        <v>206</v>
      </c>
      <c r="B35" s="18"/>
      <c r="C35" s="18"/>
      <c r="D35" s="18"/>
      <c r="E35" s="18"/>
      <c r="F35" s="18"/>
    </row>
    <row r="36" spans="1:6" ht="4.05" customHeight="1" x14ac:dyDescent="0.45"/>
    <row r="37" spans="1:6" ht="18" customHeight="1" x14ac:dyDescent="0.45">
      <c r="A37" s="4" t="s">
        <v>207</v>
      </c>
      <c r="B37" s="4" t="s">
        <v>208</v>
      </c>
      <c r="C37" s="4" t="s">
        <v>209</v>
      </c>
      <c r="D37" s="4" t="s">
        <v>210</v>
      </c>
      <c r="E37" s="4" t="s">
        <v>207</v>
      </c>
      <c r="F37" s="4" t="s">
        <v>211</v>
      </c>
    </row>
    <row r="38" spans="1:6" ht="16.05" customHeight="1" x14ac:dyDescent="0.45">
      <c r="A38" s="5">
        <v>1</v>
      </c>
      <c r="B38" s="5" t="s">
        <v>16</v>
      </c>
      <c r="C38" s="5" t="s">
        <v>212</v>
      </c>
      <c r="D38" s="5" t="s">
        <v>213</v>
      </c>
      <c r="E38" s="5">
        <v>1</v>
      </c>
      <c r="F38" s="5" t="s">
        <v>18</v>
      </c>
    </row>
    <row r="39" spans="1:6" ht="16.05" customHeight="1" x14ac:dyDescent="0.45">
      <c r="A39" s="6">
        <v>2</v>
      </c>
      <c r="B39" s="6" t="s">
        <v>20</v>
      </c>
      <c r="C39" s="6" t="s">
        <v>214</v>
      </c>
      <c r="D39" s="6" t="s">
        <v>213</v>
      </c>
      <c r="E39" s="6">
        <v>2</v>
      </c>
      <c r="F39" s="6" t="s">
        <v>21</v>
      </c>
    </row>
    <row r="40" spans="1:6" ht="16.05" customHeight="1" x14ac:dyDescent="0.45">
      <c r="A40" s="5">
        <v>3</v>
      </c>
      <c r="B40" s="5" t="s">
        <v>22</v>
      </c>
      <c r="C40" s="5" t="s">
        <v>215</v>
      </c>
      <c r="D40" s="5" t="s">
        <v>213</v>
      </c>
      <c r="E40" s="5">
        <v>3</v>
      </c>
      <c r="F40" s="5" t="s">
        <v>24</v>
      </c>
    </row>
    <row r="41" spans="1:6" ht="16.05" customHeight="1" x14ac:dyDescent="0.45">
      <c r="A41" s="6">
        <v>4</v>
      </c>
      <c r="B41" s="6" t="s">
        <v>25</v>
      </c>
      <c r="C41" s="6" t="s">
        <v>216</v>
      </c>
      <c r="D41" s="6" t="s">
        <v>217</v>
      </c>
      <c r="E41" s="6">
        <v>4</v>
      </c>
      <c r="F41" s="6" t="s">
        <v>26</v>
      </c>
    </row>
    <row r="42" spans="1:6" ht="16.05" customHeight="1" x14ac:dyDescent="0.45">
      <c r="A42" s="5">
        <v>5</v>
      </c>
      <c r="B42" s="5" t="s">
        <v>27</v>
      </c>
      <c r="C42" s="5" t="s">
        <v>218</v>
      </c>
      <c r="D42" s="5" t="s">
        <v>217</v>
      </c>
      <c r="E42" s="5">
        <v>5</v>
      </c>
      <c r="F42" s="5" t="s">
        <v>29</v>
      </c>
    </row>
    <row r="43" spans="1:6" ht="16.05" customHeight="1" x14ac:dyDescent="0.45">
      <c r="A43" s="6">
        <v>6</v>
      </c>
      <c r="B43" s="6" t="s">
        <v>30</v>
      </c>
      <c r="C43" s="6" t="s">
        <v>219</v>
      </c>
      <c r="D43" s="6" t="s">
        <v>217</v>
      </c>
      <c r="E43" s="6">
        <v>6</v>
      </c>
      <c r="F43" s="6" t="s">
        <v>32</v>
      </c>
    </row>
    <row r="44" spans="1:6" ht="16.05" customHeight="1" x14ac:dyDescent="0.45">
      <c r="A44" s="5">
        <v>7</v>
      </c>
      <c r="B44" s="5" t="s">
        <v>33</v>
      </c>
      <c r="C44" s="5" t="s">
        <v>220</v>
      </c>
      <c r="D44" s="5" t="s">
        <v>217</v>
      </c>
      <c r="E44" s="5"/>
      <c r="F44" s="5"/>
    </row>
  </sheetData>
  <mergeCells count="4">
    <mergeCell ref="A35:F35"/>
    <mergeCell ref="A1:F1"/>
    <mergeCell ref="A16:F16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sqref="A1:H1"/>
    </sheetView>
  </sheetViews>
  <sheetFormatPr defaultRowHeight="14.25" x14ac:dyDescent="0.45"/>
  <cols>
    <col min="1" max="1" width="26" customWidth="1"/>
    <col min="2" max="2" width="16" customWidth="1"/>
    <col min="3" max="7" width="14" customWidth="1"/>
    <col min="8" max="8" width="20" customWidth="1"/>
  </cols>
  <sheetData>
    <row r="1" spans="1:8" ht="28.05" customHeight="1" x14ac:dyDescent="0.45">
      <c r="A1" s="17" t="s">
        <v>365</v>
      </c>
      <c r="B1" s="18"/>
      <c r="C1" s="18"/>
      <c r="D1" s="18"/>
      <c r="E1" s="18"/>
      <c r="F1" s="18"/>
      <c r="G1" s="18"/>
      <c r="H1" s="18"/>
    </row>
    <row r="2" spans="1:8" ht="15.4" customHeight="1" x14ac:dyDescent="0.45"/>
    <row r="3" spans="1:8" ht="22.05" customHeight="1" x14ac:dyDescent="0.45">
      <c r="A3" s="22" t="s">
        <v>221</v>
      </c>
      <c r="B3" s="18"/>
      <c r="C3" s="18"/>
      <c r="D3" s="18"/>
      <c r="E3" s="18"/>
      <c r="F3" s="18"/>
      <c r="G3" s="18"/>
      <c r="H3" s="18"/>
    </row>
    <row r="4" spans="1:8" ht="4.05" customHeight="1" x14ac:dyDescent="0.45"/>
    <row r="5" spans="1:8" ht="20" customHeight="1" x14ac:dyDescent="0.45">
      <c r="A5" s="7" t="s">
        <v>222</v>
      </c>
      <c r="B5" s="7" t="s">
        <v>223</v>
      </c>
      <c r="C5" s="7" t="s">
        <v>224</v>
      </c>
      <c r="D5" s="7" t="s">
        <v>225</v>
      </c>
      <c r="E5" s="7" t="s">
        <v>226</v>
      </c>
      <c r="F5" s="7" t="s">
        <v>227</v>
      </c>
      <c r="G5" s="7" t="s">
        <v>228</v>
      </c>
      <c r="H5" s="7" t="s">
        <v>229</v>
      </c>
    </row>
    <row r="6" spans="1:8" ht="16.05" customHeight="1" x14ac:dyDescent="0.45">
      <c r="A6" s="8" t="s">
        <v>3</v>
      </c>
      <c r="B6" s="9">
        <f>AVERAGE(Raw_Data!D4:D122)</f>
        <v>1280</v>
      </c>
      <c r="C6" s="9">
        <f>MEDIAN(Raw_Data!D4:D122)</f>
        <v>1280</v>
      </c>
      <c r="D6" s="9">
        <f>STDEV(Raw_Data!D4:D122)</f>
        <v>252.05931505319288</v>
      </c>
      <c r="E6" s="9">
        <f>MIN(Raw_Data!D4:D122)</f>
        <v>800</v>
      </c>
      <c r="F6" s="9">
        <f>MAX(Raw_Data!D4:D122)</f>
        <v>1760</v>
      </c>
      <c r="G6" s="2">
        <f>COUNT(Raw_Data!D4:D122)</f>
        <v>119</v>
      </c>
      <c r="H6" s="10" t="s">
        <v>230</v>
      </c>
    </row>
    <row r="7" spans="1:8" ht="16.05" customHeight="1" x14ac:dyDescent="0.45">
      <c r="A7" s="11" t="s">
        <v>4</v>
      </c>
      <c r="B7" s="12">
        <f>AVERAGE(Raw_Data!E4:E122)</f>
        <v>15.672268907563025</v>
      </c>
      <c r="C7" s="12">
        <f>MEDIAN(Raw_Data!E4:E122)</f>
        <v>16</v>
      </c>
      <c r="D7" s="12">
        <f>STDEV(Raw_Data!E4:E122)</f>
        <v>4.6634337456382156</v>
      </c>
      <c r="E7" s="12">
        <f>MIN(Raw_Data!E4:E122)</f>
        <v>8</v>
      </c>
      <c r="F7" s="12">
        <f>MAX(Raw_Data!E4:E122)</f>
        <v>26</v>
      </c>
      <c r="G7" s="3">
        <f>COUNT(Raw_Data!E4:E122)</f>
        <v>119</v>
      </c>
      <c r="H7" s="13" t="s">
        <v>231</v>
      </c>
    </row>
    <row r="8" spans="1:8" ht="16.05" customHeight="1" x14ac:dyDescent="0.45">
      <c r="A8" s="8" t="s">
        <v>232</v>
      </c>
      <c r="B8" s="9">
        <v>1.22</v>
      </c>
      <c r="C8" s="9">
        <v>1.24</v>
      </c>
      <c r="D8" s="9">
        <v>0.25</v>
      </c>
      <c r="E8" s="9">
        <v>0.9</v>
      </c>
      <c r="F8" s="9">
        <v>1.6</v>
      </c>
      <c r="G8" s="2">
        <v>119</v>
      </c>
      <c r="H8" s="10" t="s">
        <v>233</v>
      </c>
    </row>
    <row r="9" spans="1:8" ht="16.05" customHeight="1" x14ac:dyDescent="0.45">
      <c r="A9" s="11" t="s">
        <v>6</v>
      </c>
      <c r="B9" s="12">
        <f>AVERAGE(Raw_Data!G4:G122)</f>
        <v>2774.2857142857142</v>
      </c>
      <c r="C9" s="12">
        <f>MEDIAN(Raw_Data!G4:G122)</f>
        <v>950</v>
      </c>
      <c r="D9" s="12">
        <f>STDEV(Raw_Data!G4:G122)</f>
        <v>3919.8507346686461</v>
      </c>
      <c r="E9" s="12">
        <f>MIN(Raw_Data!G4:G122)</f>
        <v>120</v>
      </c>
      <c r="F9" s="12">
        <f>MAX(Raw_Data!G4:G122)</f>
        <v>12000</v>
      </c>
      <c r="G9" s="3">
        <f>COUNT(Raw_Data!G4:G122)</f>
        <v>119</v>
      </c>
      <c r="H9" s="13" t="s">
        <v>234</v>
      </c>
    </row>
    <row r="10" spans="1:8" ht="16.05" customHeight="1" x14ac:dyDescent="0.45">
      <c r="A10" s="8" t="s">
        <v>7</v>
      </c>
      <c r="B10" s="9">
        <f>AVERAGE(Raw_Data!H4:H122)</f>
        <v>6591.226890756303</v>
      </c>
      <c r="C10" s="9">
        <f>MEDIAN(Raw_Data!H4:H122)</f>
        <v>2565</v>
      </c>
      <c r="D10" s="9">
        <f>STDEV(Raw_Data!H4:H122)</f>
        <v>9416.8638761343282</v>
      </c>
      <c r="E10" s="9">
        <f>MIN(Raw_Data!H4:H122)</f>
        <v>220</v>
      </c>
      <c r="F10" s="9">
        <f>MAX(Raw_Data!H4:H122)</f>
        <v>30600</v>
      </c>
      <c r="G10" s="2">
        <f>COUNT(Raw_Data!H4:H122)</f>
        <v>119</v>
      </c>
      <c r="H10" s="10" t="s">
        <v>235</v>
      </c>
    </row>
    <row r="11" spans="1:8" ht="16.05" customHeight="1" x14ac:dyDescent="0.45">
      <c r="A11" s="11" t="s">
        <v>8</v>
      </c>
      <c r="B11" s="12">
        <f>AVERAGE(Raw_Data!I4:I122)</f>
        <v>3514.0672268907565</v>
      </c>
      <c r="C11" s="12">
        <f>MEDIAN(Raw_Data!I4:I122)</f>
        <v>1368</v>
      </c>
      <c r="D11" s="12">
        <f>STDEV(Raw_Data!I4:I122)</f>
        <v>5023.1772775350009</v>
      </c>
      <c r="E11" s="12">
        <f>MIN(Raw_Data!I4:I122)</f>
        <v>110</v>
      </c>
      <c r="F11" s="12">
        <f>MAX(Raw_Data!I4:I122)</f>
        <v>16320</v>
      </c>
      <c r="G11" s="3">
        <f>COUNT(Raw_Data!I4:I122)</f>
        <v>119</v>
      </c>
      <c r="H11" s="13" t="s">
        <v>236</v>
      </c>
    </row>
    <row r="12" spans="1:8" ht="16.05" customHeight="1" x14ac:dyDescent="0.45">
      <c r="A12" s="8" t="s">
        <v>9</v>
      </c>
      <c r="B12" s="9">
        <f>AVERAGE(Raw_Data!J4:J122)</f>
        <v>6.2689075630252127</v>
      </c>
      <c r="C12" s="9">
        <f>MEDIAN(Raw_Data!J4:J122)</f>
        <v>6.4</v>
      </c>
      <c r="D12" s="9">
        <f>STDEV(Raw_Data!J4:J122)</f>
        <v>1.8653734982552794</v>
      </c>
      <c r="E12" s="9">
        <f>MIN(Raw_Data!J4:J122)</f>
        <v>3.2</v>
      </c>
      <c r="F12" s="9">
        <f>MAX(Raw_Data!J4:J122)</f>
        <v>10.4</v>
      </c>
      <c r="G12" s="2">
        <f>COUNT(Raw_Data!J4:J122)</f>
        <v>119</v>
      </c>
      <c r="H12" s="10" t="s">
        <v>237</v>
      </c>
    </row>
    <row r="13" spans="1:8" ht="16.05" customHeight="1" x14ac:dyDescent="0.45">
      <c r="A13" s="11" t="s">
        <v>10</v>
      </c>
      <c r="B13" s="12">
        <f>AVERAGE(Raw_Data!K4:K122)</f>
        <v>500</v>
      </c>
      <c r="C13" s="12">
        <f>MEDIAN(Raw_Data!K4:K122)</f>
        <v>500</v>
      </c>
      <c r="D13" s="12">
        <f>STDEV(Raw_Data!K4:K122)</f>
        <v>94.204969461204328</v>
      </c>
      <c r="E13" s="12">
        <f>MIN(Raw_Data!K4:K122)</f>
        <v>300</v>
      </c>
      <c r="F13" s="12">
        <f>MAX(Raw_Data!K4:K122)</f>
        <v>700</v>
      </c>
      <c r="G13" s="3">
        <f>COUNT(Raw_Data!K4:K122)</f>
        <v>119</v>
      </c>
      <c r="H13" s="13" t="s">
        <v>238</v>
      </c>
    </row>
    <row r="14" spans="1:8" ht="16.05" customHeight="1" x14ac:dyDescent="0.45">
      <c r="A14" s="8" t="s">
        <v>11</v>
      </c>
      <c r="B14" s="9">
        <f>AVERAGE(Raw_Data!L4:L122)</f>
        <v>319.76470588235293</v>
      </c>
      <c r="C14" s="9">
        <f>MEDIAN(Raw_Data!L4:L122)</f>
        <v>320</v>
      </c>
      <c r="D14" s="9">
        <f>STDEV(Raw_Data!L4:L122)</f>
        <v>79.086169041111091</v>
      </c>
      <c r="E14" s="9">
        <f>MIN(Raw_Data!L4:L122)</f>
        <v>165</v>
      </c>
      <c r="F14" s="9">
        <f>MAX(Raw_Data!L4:L122)</f>
        <v>475</v>
      </c>
      <c r="G14" s="2">
        <f>COUNT(Raw_Data!L4:L122)</f>
        <v>119</v>
      </c>
      <c r="H14" s="10" t="s">
        <v>239</v>
      </c>
    </row>
    <row r="15" spans="1:8" ht="16.05" customHeight="1" x14ac:dyDescent="0.45">
      <c r="A15" s="11" t="s">
        <v>12</v>
      </c>
      <c r="B15" s="12">
        <f>AVERAGE(Raw_Data!M4:M122)</f>
        <v>1444.5630252100841</v>
      </c>
      <c r="C15" s="12">
        <f>MEDIAN(Raw_Data!M4:M122)</f>
        <v>1448</v>
      </c>
      <c r="D15" s="12">
        <f>STDEV(Raw_Data!M4:M122)</f>
        <v>261.82584581460509</v>
      </c>
      <c r="E15" s="12">
        <f>MIN(Raw_Data!M4:M122)</f>
        <v>927</v>
      </c>
      <c r="F15" s="12">
        <f>MAX(Raw_Data!M4:M122)</f>
        <v>1968</v>
      </c>
      <c r="G15" s="3">
        <f>COUNT(Raw_Data!M4:M122)</f>
        <v>119</v>
      </c>
      <c r="H15" s="13" t="s">
        <v>240</v>
      </c>
    </row>
    <row r="16" spans="1:8" ht="16.05" customHeight="1" x14ac:dyDescent="0.45">
      <c r="A16" s="8" t="s">
        <v>241</v>
      </c>
      <c r="B16" s="9">
        <v>10105.290000000001</v>
      </c>
      <c r="C16" s="9">
        <v>3933</v>
      </c>
      <c r="D16" s="9">
        <v>14440.04</v>
      </c>
      <c r="E16" s="9">
        <v>330</v>
      </c>
      <c r="F16" s="9">
        <v>46920</v>
      </c>
      <c r="G16" s="2">
        <v>119</v>
      </c>
      <c r="H16" s="10" t="s">
        <v>242</v>
      </c>
    </row>
    <row r="17" spans="1:8" ht="10.050000000000001" customHeight="1" x14ac:dyDescent="0.45"/>
    <row r="18" spans="1:8" ht="22.05" customHeight="1" x14ac:dyDescent="0.45">
      <c r="A18" s="23" t="s">
        <v>243</v>
      </c>
      <c r="B18" s="18"/>
      <c r="C18" s="18"/>
      <c r="D18" s="18"/>
      <c r="E18" s="18"/>
      <c r="F18" s="18"/>
      <c r="G18" s="18"/>
      <c r="H18" s="18"/>
    </row>
    <row r="19" spans="1:8" ht="4.05" customHeight="1" x14ac:dyDescent="0.45"/>
    <row r="20" spans="1:8" ht="18" customHeight="1" x14ac:dyDescent="0.45">
      <c r="A20" s="14" t="s">
        <v>1</v>
      </c>
      <c r="B20" s="14" t="s">
        <v>244</v>
      </c>
      <c r="C20" s="14" t="s">
        <v>245</v>
      </c>
      <c r="D20" s="14" t="s">
        <v>246</v>
      </c>
      <c r="E20" s="14" t="s">
        <v>247</v>
      </c>
      <c r="F20" s="14" t="s">
        <v>248</v>
      </c>
    </row>
    <row r="21" spans="1:8" ht="28.5" customHeight="1" x14ac:dyDescent="0.45">
      <c r="A21" s="5" t="s">
        <v>16</v>
      </c>
      <c r="B21" s="5">
        <v>15640</v>
      </c>
      <c r="C21" s="5">
        <v>149</v>
      </c>
      <c r="D21" s="5">
        <v>0.95</v>
      </c>
      <c r="E21" s="5">
        <v>1</v>
      </c>
      <c r="F21" s="5" t="s">
        <v>249</v>
      </c>
    </row>
    <row r="22" spans="1:8" ht="25.9" customHeight="1" x14ac:dyDescent="0.45">
      <c r="A22" s="6" t="s">
        <v>25</v>
      </c>
      <c r="B22" s="6">
        <v>21760</v>
      </c>
      <c r="C22" s="6">
        <v>209</v>
      </c>
      <c r="D22" s="6">
        <v>0.96</v>
      </c>
      <c r="E22" s="6">
        <v>2</v>
      </c>
      <c r="F22" s="6" t="s">
        <v>249</v>
      </c>
    </row>
    <row r="23" spans="1:8" ht="32.25" customHeight="1" x14ac:dyDescent="0.45">
      <c r="A23" s="5" t="s">
        <v>33</v>
      </c>
      <c r="B23" s="5">
        <v>27880</v>
      </c>
      <c r="C23" s="5">
        <v>271</v>
      </c>
      <c r="D23" s="5">
        <v>0.97</v>
      </c>
      <c r="E23" s="5">
        <v>3</v>
      </c>
      <c r="F23" s="5" t="s">
        <v>249</v>
      </c>
    </row>
    <row r="24" spans="1:8" ht="29.65" customHeight="1" x14ac:dyDescent="0.45">
      <c r="A24" s="6" t="s">
        <v>20</v>
      </c>
      <c r="B24" s="6">
        <v>17680</v>
      </c>
      <c r="C24" s="6">
        <v>221</v>
      </c>
      <c r="D24" s="6">
        <v>1.25</v>
      </c>
      <c r="E24" s="6">
        <v>4</v>
      </c>
      <c r="F24" s="6" t="s">
        <v>250</v>
      </c>
    </row>
    <row r="25" spans="1:8" ht="27.75" customHeight="1" x14ac:dyDescent="0.45">
      <c r="A25" s="5" t="s">
        <v>27</v>
      </c>
      <c r="B25" s="5">
        <v>23800</v>
      </c>
      <c r="C25" s="5">
        <v>301</v>
      </c>
      <c r="D25" s="5">
        <v>1.26</v>
      </c>
      <c r="E25" s="5">
        <v>5</v>
      </c>
      <c r="F25" s="5" t="s">
        <v>250</v>
      </c>
    </row>
    <row r="26" spans="1:8" ht="27" customHeight="1" x14ac:dyDescent="0.45">
      <c r="A26" s="6" t="s">
        <v>22</v>
      </c>
      <c r="B26" s="6">
        <v>19720</v>
      </c>
      <c r="C26" s="6">
        <v>308</v>
      </c>
      <c r="D26" s="6">
        <v>1.56</v>
      </c>
      <c r="E26" s="6">
        <v>6</v>
      </c>
      <c r="F26" s="6" t="s">
        <v>250</v>
      </c>
    </row>
    <row r="27" spans="1:8" ht="24.4" customHeight="1" x14ac:dyDescent="0.45">
      <c r="A27" s="5" t="s">
        <v>30</v>
      </c>
      <c r="B27" s="5">
        <v>25840</v>
      </c>
      <c r="C27" s="5">
        <v>406</v>
      </c>
      <c r="D27" s="5">
        <v>1.57</v>
      </c>
      <c r="E27" s="5">
        <v>7</v>
      </c>
      <c r="F27" s="5" t="s">
        <v>250</v>
      </c>
    </row>
    <row r="29" spans="1:8" ht="10.050000000000001" customHeight="1" x14ac:dyDescent="0.45"/>
    <row r="30" spans="1:8" ht="22.05" customHeight="1" x14ac:dyDescent="0.45">
      <c r="A30" s="24" t="s">
        <v>251</v>
      </c>
      <c r="B30" s="18"/>
      <c r="C30" s="18"/>
      <c r="D30" s="18"/>
      <c r="E30" s="18"/>
      <c r="F30" s="18"/>
      <c r="G30" s="18"/>
      <c r="H30" s="18"/>
    </row>
    <row r="31" spans="1:8" ht="4.05" customHeight="1" x14ac:dyDescent="0.45"/>
    <row r="32" spans="1:8" ht="28.5" customHeight="1" x14ac:dyDescent="0.45">
      <c r="A32" s="15" t="s">
        <v>1</v>
      </c>
      <c r="B32" s="15" t="s">
        <v>252</v>
      </c>
      <c r="C32" s="15" t="s">
        <v>253</v>
      </c>
      <c r="D32" s="15" t="s">
        <v>254</v>
      </c>
      <c r="E32" s="15" t="s">
        <v>255</v>
      </c>
      <c r="F32" s="15" t="s">
        <v>256</v>
      </c>
    </row>
    <row r="33" spans="1:8" ht="16.05" customHeight="1" x14ac:dyDescent="0.45">
      <c r="A33" s="5" t="s">
        <v>20</v>
      </c>
      <c r="B33" s="5">
        <v>4420</v>
      </c>
      <c r="C33" s="5">
        <v>2210</v>
      </c>
      <c r="D33" s="5">
        <v>6630</v>
      </c>
      <c r="E33" s="5" t="s">
        <v>257</v>
      </c>
      <c r="F33" s="5">
        <v>88.4</v>
      </c>
    </row>
    <row r="34" spans="1:8" ht="16.05" customHeight="1" x14ac:dyDescent="0.45">
      <c r="A34" s="6" t="s">
        <v>16</v>
      </c>
      <c r="B34" s="6">
        <v>10061</v>
      </c>
      <c r="C34" s="6">
        <v>5364</v>
      </c>
      <c r="D34" s="6">
        <v>15425</v>
      </c>
      <c r="E34" s="6" t="s">
        <v>258</v>
      </c>
      <c r="F34" s="6">
        <v>59.6</v>
      </c>
    </row>
    <row r="35" spans="1:8" ht="16.05" customHeight="1" x14ac:dyDescent="0.45">
      <c r="A35" s="5" t="s">
        <v>30</v>
      </c>
      <c r="B35" s="5">
        <v>24360</v>
      </c>
      <c r="C35" s="5">
        <v>12992</v>
      </c>
      <c r="D35" s="5">
        <v>37352</v>
      </c>
      <c r="E35" s="5" t="s">
        <v>259</v>
      </c>
      <c r="F35" s="5">
        <v>162.4</v>
      </c>
    </row>
    <row r="36" spans="1:8" ht="16.05" customHeight="1" x14ac:dyDescent="0.45">
      <c r="A36" s="6" t="s">
        <v>22</v>
      </c>
      <c r="B36" s="6">
        <v>43890</v>
      </c>
      <c r="C36" s="6">
        <v>23408</v>
      </c>
      <c r="D36" s="6">
        <v>67298</v>
      </c>
      <c r="E36" s="6" t="s">
        <v>260</v>
      </c>
      <c r="F36" s="6">
        <v>123.2</v>
      </c>
    </row>
    <row r="37" spans="1:8" ht="16.05" customHeight="1" x14ac:dyDescent="0.45">
      <c r="A37" s="5" t="s">
        <v>25</v>
      </c>
      <c r="B37" s="5">
        <v>78375</v>
      </c>
      <c r="C37" s="5">
        <v>41800</v>
      </c>
      <c r="D37" s="5">
        <v>120175</v>
      </c>
      <c r="E37" s="5" t="s">
        <v>261</v>
      </c>
      <c r="F37" s="5">
        <v>83.6</v>
      </c>
    </row>
    <row r="38" spans="1:8" ht="16.05" customHeight="1" x14ac:dyDescent="0.45">
      <c r="A38" s="6" t="s">
        <v>27</v>
      </c>
      <c r="B38" s="6">
        <v>135450</v>
      </c>
      <c r="C38" s="6">
        <v>72240</v>
      </c>
      <c r="D38" s="6">
        <v>207690</v>
      </c>
      <c r="E38" s="6" t="s">
        <v>262</v>
      </c>
      <c r="F38" s="6">
        <v>120.4</v>
      </c>
    </row>
    <row r="39" spans="1:8" ht="16.05" customHeight="1" x14ac:dyDescent="0.45">
      <c r="A39" s="5" t="s">
        <v>33</v>
      </c>
      <c r="B39" s="5">
        <v>487800</v>
      </c>
      <c r="C39" s="5">
        <v>260160</v>
      </c>
      <c r="D39" s="5">
        <v>747960</v>
      </c>
      <c r="E39" s="5" t="s">
        <v>263</v>
      </c>
      <c r="F39" s="5">
        <v>108.4</v>
      </c>
    </row>
    <row r="40" spans="1:8" ht="18" customHeight="1" x14ac:dyDescent="0.45">
      <c r="A40" s="15" t="s">
        <v>264</v>
      </c>
      <c r="B40" s="15">
        <v>784356</v>
      </c>
      <c r="C40" s="15">
        <v>418174</v>
      </c>
      <c r="D40" s="15">
        <v>1202530</v>
      </c>
      <c r="E40" s="15" t="s">
        <v>265</v>
      </c>
      <c r="F40" s="15">
        <v>746</v>
      </c>
    </row>
    <row r="41" spans="1:8" ht="10.050000000000001" customHeight="1" x14ac:dyDescent="0.45"/>
    <row r="42" spans="1:8" ht="22.05" customHeight="1" x14ac:dyDescent="0.45">
      <c r="A42" s="19" t="s">
        <v>266</v>
      </c>
      <c r="B42" s="18"/>
      <c r="C42" s="18"/>
      <c r="D42" s="18"/>
      <c r="E42" s="18"/>
      <c r="F42" s="18"/>
      <c r="G42" s="18"/>
      <c r="H42" s="18"/>
    </row>
    <row r="43" spans="1:8" ht="4.05" customHeight="1" x14ac:dyDescent="0.45"/>
    <row r="44" spans="1:8" ht="29.25" customHeight="1" x14ac:dyDescent="0.45">
      <c r="A44" s="16" t="s">
        <v>1</v>
      </c>
      <c r="B44" s="16" t="s">
        <v>267</v>
      </c>
      <c r="C44" s="16" t="s">
        <v>268</v>
      </c>
      <c r="D44" s="16" t="s">
        <v>269</v>
      </c>
      <c r="E44" s="16" t="s">
        <v>270</v>
      </c>
      <c r="F44" s="16" t="s">
        <v>271</v>
      </c>
    </row>
    <row r="45" spans="1:8" ht="16.05" customHeight="1" x14ac:dyDescent="0.45">
      <c r="A45" s="5" t="s">
        <v>25</v>
      </c>
      <c r="B45" s="5">
        <v>500</v>
      </c>
      <c r="C45" s="5">
        <v>320</v>
      </c>
      <c r="D45" s="5">
        <v>1448</v>
      </c>
      <c r="E45" s="5">
        <v>1293</v>
      </c>
      <c r="F45" s="5">
        <v>0</v>
      </c>
    </row>
    <row r="46" spans="1:8" ht="16.05" customHeight="1" x14ac:dyDescent="0.45">
      <c r="A46" s="6" t="s">
        <v>16</v>
      </c>
      <c r="B46" s="6">
        <v>380</v>
      </c>
      <c r="C46" s="6">
        <v>209</v>
      </c>
      <c r="D46" s="6">
        <v>1082</v>
      </c>
      <c r="E46" s="6">
        <v>927</v>
      </c>
      <c r="F46" s="6">
        <v>1</v>
      </c>
    </row>
    <row r="47" spans="1:8" ht="16.05" customHeight="1" x14ac:dyDescent="0.45">
      <c r="A47" s="5" t="s">
        <v>20</v>
      </c>
      <c r="B47" s="5">
        <v>420</v>
      </c>
      <c r="C47" s="5">
        <v>246</v>
      </c>
      <c r="D47" s="5">
        <v>1201</v>
      </c>
      <c r="E47" s="5">
        <v>1047</v>
      </c>
      <c r="F47" s="5">
        <v>1</v>
      </c>
    </row>
    <row r="48" spans="1:8" ht="16.05" customHeight="1" x14ac:dyDescent="0.45">
      <c r="A48" s="6" t="s">
        <v>22</v>
      </c>
      <c r="B48" s="6">
        <v>460</v>
      </c>
      <c r="C48" s="6">
        <v>283</v>
      </c>
      <c r="D48" s="6">
        <v>1319</v>
      </c>
      <c r="E48" s="6">
        <v>1165</v>
      </c>
      <c r="F48" s="6">
        <v>0</v>
      </c>
    </row>
    <row r="49" spans="1:6" ht="16.05" customHeight="1" x14ac:dyDescent="0.45">
      <c r="A49" s="5" t="s">
        <v>30</v>
      </c>
      <c r="B49" s="5">
        <v>580</v>
      </c>
      <c r="C49" s="5">
        <v>394</v>
      </c>
      <c r="D49" s="5">
        <v>1682</v>
      </c>
      <c r="E49" s="5">
        <v>1528</v>
      </c>
      <c r="F49" s="5">
        <v>0</v>
      </c>
    </row>
    <row r="50" spans="1:6" ht="16.05" customHeight="1" x14ac:dyDescent="0.45">
      <c r="A50" s="6" t="s">
        <v>33</v>
      </c>
      <c r="B50" s="6">
        <v>620</v>
      </c>
      <c r="C50" s="6">
        <v>431</v>
      </c>
      <c r="D50" s="6">
        <v>1813</v>
      </c>
      <c r="E50" s="6">
        <v>1658</v>
      </c>
      <c r="F50" s="6">
        <v>0</v>
      </c>
    </row>
    <row r="51" spans="1:6" ht="16.05" customHeight="1" x14ac:dyDescent="0.45">
      <c r="A51" s="5" t="s">
        <v>27</v>
      </c>
      <c r="B51" s="5">
        <v>540</v>
      </c>
      <c r="C51" s="5">
        <v>357</v>
      </c>
      <c r="D51" s="5">
        <v>1566</v>
      </c>
      <c r="E51" s="5">
        <v>1411</v>
      </c>
      <c r="F51" s="5">
        <v>0</v>
      </c>
    </row>
  </sheetData>
  <mergeCells count="5">
    <mergeCell ref="A3:H3"/>
    <mergeCell ref="A42:H42"/>
    <mergeCell ref="A18:H18"/>
    <mergeCell ref="A1:H1"/>
    <mergeCell ref="A30:H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sqref="A1:J1"/>
    </sheetView>
  </sheetViews>
  <sheetFormatPr defaultRowHeight="14.25" x14ac:dyDescent="0.45"/>
  <cols>
    <col min="1" max="1" width="14" customWidth="1"/>
    <col min="2" max="19" width="12" customWidth="1"/>
  </cols>
  <sheetData>
    <row r="1" spans="1:10" ht="16.899999999999999" x14ac:dyDescent="0.45">
      <c r="A1" s="17" t="s">
        <v>366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45">
      <c r="A2" s="20" t="s">
        <v>272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45">
      <c r="A4" s="23" t="s">
        <v>273</v>
      </c>
      <c r="B4" s="18"/>
      <c r="C4" s="18"/>
      <c r="D4" s="18"/>
      <c r="E4" s="18"/>
      <c r="F4" s="18"/>
    </row>
    <row r="6" spans="1:10" ht="26.25" x14ac:dyDescent="0.45">
      <c r="A6" s="14" t="s">
        <v>0</v>
      </c>
      <c r="B6" s="14" t="s">
        <v>244</v>
      </c>
      <c r="C6" s="14" t="s">
        <v>245</v>
      </c>
      <c r="D6" s="14" t="s">
        <v>246</v>
      </c>
      <c r="E6" s="14" t="s">
        <v>274</v>
      </c>
      <c r="F6" s="14" t="s">
        <v>275</v>
      </c>
    </row>
    <row r="7" spans="1:10" x14ac:dyDescent="0.45">
      <c r="A7" s="5" t="s">
        <v>15</v>
      </c>
      <c r="B7" s="5">
        <v>8120</v>
      </c>
      <c r="C7" s="5">
        <v>99</v>
      </c>
      <c r="D7" s="5">
        <v>1.22</v>
      </c>
      <c r="E7" s="5" t="s">
        <v>276</v>
      </c>
      <c r="F7" s="5" t="s">
        <v>276</v>
      </c>
    </row>
    <row r="8" spans="1:10" x14ac:dyDescent="0.45">
      <c r="A8" s="6" t="s">
        <v>35</v>
      </c>
      <c r="B8" s="6">
        <v>8225</v>
      </c>
      <c r="C8" s="6">
        <v>100</v>
      </c>
      <c r="D8" s="6">
        <v>1.22</v>
      </c>
      <c r="E8" s="6" t="s">
        <v>277</v>
      </c>
      <c r="F8" s="6" t="s">
        <v>358</v>
      </c>
    </row>
    <row r="9" spans="1:10" x14ac:dyDescent="0.45">
      <c r="A9" s="5" t="s">
        <v>41</v>
      </c>
      <c r="B9" s="5">
        <v>8330</v>
      </c>
      <c r="C9" s="5">
        <v>102</v>
      </c>
      <c r="D9" s="5">
        <v>1.22</v>
      </c>
      <c r="E9" s="5" t="s">
        <v>277</v>
      </c>
      <c r="F9" s="5" t="s">
        <v>358</v>
      </c>
    </row>
    <row r="10" spans="1:10" x14ac:dyDescent="0.45">
      <c r="A10" s="6" t="s">
        <v>47</v>
      </c>
      <c r="B10" s="6">
        <v>8435</v>
      </c>
      <c r="C10" s="6">
        <v>104</v>
      </c>
      <c r="D10" s="6">
        <v>1.23</v>
      </c>
      <c r="E10" s="6" t="s">
        <v>278</v>
      </c>
      <c r="F10" s="6" t="s">
        <v>359</v>
      </c>
    </row>
    <row r="11" spans="1:10" x14ac:dyDescent="0.45">
      <c r="A11" s="5" t="s">
        <v>53</v>
      </c>
      <c r="B11" s="5">
        <v>8540</v>
      </c>
      <c r="C11" s="5">
        <v>104</v>
      </c>
      <c r="D11" s="5">
        <v>1.22</v>
      </c>
      <c r="E11" s="5" t="s">
        <v>279</v>
      </c>
      <c r="F11" s="5" t="s">
        <v>358</v>
      </c>
    </row>
    <row r="12" spans="1:10" x14ac:dyDescent="0.45">
      <c r="A12" s="6" t="s">
        <v>59</v>
      </c>
      <c r="B12" s="6">
        <v>8645</v>
      </c>
      <c r="C12" s="6">
        <v>104</v>
      </c>
      <c r="D12" s="6">
        <v>1.2</v>
      </c>
      <c r="E12" s="6" t="s">
        <v>280</v>
      </c>
      <c r="F12" s="6" t="s">
        <v>360</v>
      </c>
    </row>
    <row r="13" spans="1:10" x14ac:dyDescent="0.45">
      <c r="A13" s="5" t="s">
        <v>65</v>
      </c>
      <c r="B13" s="5">
        <v>8750</v>
      </c>
      <c r="C13" s="5">
        <v>107</v>
      </c>
      <c r="D13" s="5">
        <v>1.22</v>
      </c>
      <c r="E13" s="5" t="s">
        <v>281</v>
      </c>
      <c r="F13" s="5" t="s">
        <v>359</v>
      </c>
    </row>
    <row r="14" spans="1:10" x14ac:dyDescent="0.45">
      <c r="A14" s="6" t="s">
        <v>72</v>
      </c>
      <c r="B14" s="6">
        <v>8855</v>
      </c>
      <c r="C14" s="6">
        <v>110</v>
      </c>
      <c r="D14" s="6">
        <v>1.24</v>
      </c>
      <c r="E14" s="6" t="s">
        <v>281</v>
      </c>
      <c r="F14" s="6" t="s">
        <v>361</v>
      </c>
    </row>
    <row r="15" spans="1:10" x14ac:dyDescent="0.45">
      <c r="A15" s="5" t="s">
        <v>78</v>
      </c>
      <c r="B15" s="5">
        <v>8960</v>
      </c>
      <c r="C15" s="5">
        <v>110</v>
      </c>
      <c r="D15" s="5">
        <v>1.23</v>
      </c>
      <c r="E15" s="5" t="s">
        <v>279</v>
      </c>
      <c r="F15" s="5" t="s">
        <v>360</v>
      </c>
    </row>
    <row r="16" spans="1:10" x14ac:dyDescent="0.45">
      <c r="A16" s="6" t="s">
        <v>84</v>
      </c>
      <c r="B16" s="6">
        <v>9065</v>
      </c>
      <c r="C16" s="6">
        <v>110</v>
      </c>
      <c r="D16" s="6">
        <v>1.21</v>
      </c>
      <c r="E16" s="6" t="s">
        <v>280</v>
      </c>
      <c r="F16" s="6" t="s">
        <v>358</v>
      </c>
    </row>
    <row r="17" spans="1:6" x14ac:dyDescent="0.45">
      <c r="A17" s="5" t="s">
        <v>90</v>
      </c>
      <c r="B17" s="5">
        <v>9170</v>
      </c>
      <c r="C17" s="5">
        <v>112</v>
      </c>
      <c r="D17" s="5">
        <v>1.22</v>
      </c>
      <c r="E17" s="5" t="s">
        <v>278</v>
      </c>
      <c r="F17" s="5" t="s">
        <v>359</v>
      </c>
    </row>
    <row r="18" spans="1:6" x14ac:dyDescent="0.45">
      <c r="A18" s="6" t="s">
        <v>96</v>
      </c>
      <c r="B18" s="6">
        <v>9275</v>
      </c>
      <c r="C18" s="6">
        <v>114</v>
      </c>
      <c r="D18" s="6">
        <v>1.23</v>
      </c>
      <c r="E18" s="6" t="s">
        <v>278</v>
      </c>
      <c r="F18" s="6" t="s">
        <v>361</v>
      </c>
    </row>
    <row r="19" spans="1:6" x14ac:dyDescent="0.45">
      <c r="A19" s="5" t="s">
        <v>102</v>
      </c>
      <c r="B19" s="5">
        <v>9380</v>
      </c>
      <c r="C19" s="5">
        <v>115</v>
      </c>
      <c r="D19" s="5">
        <v>1.23</v>
      </c>
      <c r="E19" s="5" t="s">
        <v>277</v>
      </c>
      <c r="F19" s="5" t="s">
        <v>360</v>
      </c>
    </row>
    <row r="20" spans="1:6" x14ac:dyDescent="0.45">
      <c r="A20" s="6" t="s">
        <v>108</v>
      </c>
      <c r="B20" s="6">
        <v>9485</v>
      </c>
      <c r="C20" s="6">
        <v>116</v>
      </c>
      <c r="D20" s="6">
        <v>1.22</v>
      </c>
      <c r="E20" s="6" t="s">
        <v>279</v>
      </c>
      <c r="F20" s="6" t="s">
        <v>360</v>
      </c>
    </row>
    <row r="21" spans="1:6" x14ac:dyDescent="0.45">
      <c r="A21" s="5" t="s">
        <v>114</v>
      </c>
      <c r="B21" s="5">
        <v>9590</v>
      </c>
      <c r="C21" s="5">
        <v>118</v>
      </c>
      <c r="D21" s="5">
        <v>1.23</v>
      </c>
      <c r="E21" s="5" t="s">
        <v>278</v>
      </c>
      <c r="F21" s="5" t="s">
        <v>361</v>
      </c>
    </row>
    <row r="22" spans="1:6" x14ac:dyDescent="0.45">
      <c r="A22" s="6" t="s">
        <v>120</v>
      </c>
      <c r="B22" s="6">
        <v>9695</v>
      </c>
      <c r="C22" s="6">
        <v>119</v>
      </c>
      <c r="D22" s="6">
        <v>1.23</v>
      </c>
      <c r="E22" s="6" t="s">
        <v>277</v>
      </c>
      <c r="F22" s="6" t="s">
        <v>360</v>
      </c>
    </row>
    <row r="23" spans="1:6" x14ac:dyDescent="0.45">
      <c r="A23" s="5" t="s">
        <v>126</v>
      </c>
      <c r="B23" s="5">
        <v>9800</v>
      </c>
      <c r="C23" s="5">
        <v>121</v>
      </c>
      <c r="D23" s="5">
        <v>1.23</v>
      </c>
      <c r="E23" s="5" t="s">
        <v>277</v>
      </c>
      <c r="F23" s="5" t="s">
        <v>358</v>
      </c>
    </row>
    <row r="24" spans="1:6" ht="26.25" x14ac:dyDescent="0.45">
      <c r="A24" s="14" t="s">
        <v>282</v>
      </c>
      <c r="B24" s="14">
        <v>152320</v>
      </c>
      <c r="C24" s="14">
        <v>1865</v>
      </c>
      <c r="D24" s="14">
        <v>1.22</v>
      </c>
      <c r="E24" s="14" t="s">
        <v>276</v>
      </c>
      <c r="F24" s="14" t="s">
        <v>362</v>
      </c>
    </row>
    <row r="26" spans="1:6" x14ac:dyDescent="0.45">
      <c r="A26" s="23" t="s">
        <v>283</v>
      </c>
      <c r="B26" s="18"/>
      <c r="C26" s="18"/>
      <c r="D26" s="18"/>
      <c r="E26" s="18"/>
      <c r="F26" s="18"/>
    </row>
    <row r="28" spans="1:6" ht="26.25" x14ac:dyDescent="0.45">
      <c r="A28" s="14" t="s">
        <v>211</v>
      </c>
      <c r="B28" s="14" t="s">
        <v>284</v>
      </c>
      <c r="C28" s="14" t="s">
        <v>285</v>
      </c>
      <c r="D28" s="14" t="s">
        <v>286</v>
      </c>
      <c r="E28" s="14" t="s">
        <v>287</v>
      </c>
      <c r="F28" s="14" t="s">
        <v>288</v>
      </c>
    </row>
    <row r="29" spans="1:6" x14ac:dyDescent="0.45">
      <c r="A29" s="5" t="s">
        <v>18</v>
      </c>
      <c r="B29" s="5">
        <v>20</v>
      </c>
      <c r="C29" s="5" t="s">
        <v>289</v>
      </c>
      <c r="D29" s="5" t="s">
        <v>289</v>
      </c>
      <c r="E29" s="5">
        <v>1</v>
      </c>
      <c r="F29" s="5" t="s">
        <v>290</v>
      </c>
    </row>
    <row r="30" spans="1:6" x14ac:dyDescent="0.45">
      <c r="A30" s="6" t="s">
        <v>21</v>
      </c>
      <c r="B30" s="6">
        <v>20</v>
      </c>
      <c r="C30" s="6" t="s">
        <v>289</v>
      </c>
      <c r="D30" s="6" t="s">
        <v>291</v>
      </c>
      <c r="E30" s="6">
        <v>2</v>
      </c>
      <c r="F30" s="6" t="s">
        <v>290</v>
      </c>
    </row>
    <row r="31" spans="1:6" ht="25.5" x14ac:dyDescent="0.45">
      <c r="A31" s="5" t="s">
        <v>24</v>
      </c>
      <c r="B31" s="5">
        <v>20</v>
      </c>
      <c r="C31" s="5" t="s">
        <v>289</v>
      </c>
      <c r="D31" s="5" t="s">
        <v>292</v>
      </c>
      <c r="E31" s="5">
        <v>3</v>
      </c>
      <c r="F31" s="5" t="s">
        <v>290</v>
      </c>
    </row>
    <row r="32" spans="1:6" x14ac:dyDescent="0.45">
      <c r="A32" s="6" t="s">
        <v>26</v>
      </c>
      <c r="B32" s="6">
        <v>20</v>
      </c>
      <c r="C32" s="6" t="s">
        <v>289</v>
      </c>
      <c r="D32" s="6" t="s">
        <v>293</v>
      </c>
      <c r="E32" s="6">
        <v>4</v>
      </c>
      <c r="F32" s="6" t="s">
        <v>290</v>
      </c>
    </row>
    <row r="33" spans="1:6" x14ac:dyDescent="0.45">
      <c r="A33" s="5" t="s">
        <v>29</v>
      </c>
      <c r="B33" s="5">
        <v>20</v>
      </c>
      <c r="C33" s="5" t="s">
        <v>289</v>
      </c>
      <c r="D33" s="5" t="s">
        <v>294</v>
      </c>
      <c r="E33" s="5">
        <v>5</v>
      </c>
      <c r="F33" s="5" t="s">
        <v>295</v>
      </c>
    </row>
    <row r="34" spans="1:6" ht="25.5" x14ac:dyDescent="0.45">
      <c r="A34" s="6" t="s">
        <v>32</v>
      </c>
      <c r="B34" s="6">
        <v>19</v>
      </c>
      <c r="C34" s="6" t="s">
        <v>296</v>
      </c>
      <c r="D34" s="6" t="s">
        <v>297</v>
      </c>
      <c r="E34" s="6">
        <v>6</v>
      </c>
      <c r="F34" s="6" t="s">
        <v>295</v>
      </c>
    </row>
  </sheetData>
  <mergeCells count="4">
    <mergeCell ref="A26:F26"/>
    <mergeCell ref="A1:J1"/>
    <mergeCell ref="A4:F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workbookViewId="0">
      <selection sqref="A1:G1"/>
    </sheetView>
  </sheetViews>
  <sheetFormatPr defaultRowHeight="14.25" x14ac:dyDescent="0.45"/>
  <cols>
    <col min="1" max="1" width="18" customWidth="1"/>
    <col min="2" max="6" width="16" customWidth="1"/>
    <col min="7" max="7" width="20" customWidth="1"/>
  </cols>
  <sheetData>
    <row r="1" spans="1:7" ht="28.05" customHeight="1" x14ac:dyDescent="0.45">
      <c r="A1" s="17" t="s">
        <v>367</v>
      </c>
      <c r="B1" s="18"/>
      <c r="C1" s="18"/>
      <c r="D1" s="18"/>
      <c r="E1" s="18"/>
      <c r="F1" s="18"/>
      <c r="G1" s="18"/>
    </row>
    <row r="2" spans="1:7" ht="16.05" customHeight="1" x14ac:dyDescent="0.45">
      <c r="A2" s="20" t="s">
        <v>298</v>
      </c>
      <c r="B2" s="18"/>
      <c r="C2" s="18"/>
      <c r="D2" s="18"/>
      <c r="E2" s="18"/>
      <c r="F2" s="18"/>
      <c r="G2" s="18"/>
    </row>
    <row r="3" spans="1:7" ht="8" customHeight="1" x14ac:dyDescent="0.45"/>
    <row r="4" spans="1:7" ht="22.05" customHeight="1" x14ac:dyDescent="0.45">
      <c r="A4" s="24" t="s">
        <v>299</v>
      </c>
      <c r="B4" s="18"/>
      <c r="C4" s="18"/>
      <c r="D4" s="18"/>
      <c r="E4" s="18"/>
      <c r="F4" s="18"/>
      <c r="G4" s="18"/>
    </row>
    <row r="5" spans="1:7" ht="8" customHeight="1" x14ac:dyDescent="0.45"/>
    <row r="6" spans="1:7" ht="22.05" customHeight="1" x14ac:dyDescent="0.45">
      <c r="A6" s="24" t="s">
        <v>300</v>
      </c>
      <c r="B6" s="18"/>
      <c r="C6" s="18"/>
      <c r="D6" s="18"/>
      <c r="E6" s="18"/>
      <c r="F6" s="18"/>
      <c r="G6" s="18"/>
    </row>
    <row r="7" spans="1:7" ht="4.05" customHeight="1" x14ac:dyDescent="0.45"/>
    <row r="8" spans="1:7" ht="24.4" customHeight="1" x14ac:dyDescent="0.45">
      <c r="A8" s="15" t="s">
        <v>0</v>
      </c>
      <c r="B8" s="15" t="s">
        <v>252</v>
      </c>
      <c r="C8" s="15" t="s">
        <v>253</v>
      </c>
      <c r="D8" s="15" t="s">
        <v>254</v>
      </c>
      <c r="E8" s="15" t="s">
        <v>256</v>
      </c>
      <c r="F8" s="15" t="s">
        <v>301</v>
      </c>
      <c r="G8" s="15" t="s">
        <v>275</v>
      </c>
    </row>
    <row r="9" spans="1:7" ht="16.05" customHeight="1" x14ac:dyDescent="0.45">
      <c r="A9" s="5" t="s">
        <v>15</v>
      </c>
      <c r="B9" s="5">
        <v>42685</v>
      </c>
      <c r="C9" s="5">
        <v>22758</v>
      </c>
      <c r="D9" s="5">
        <v>65443</v>
      </c>
      <c r="E9" s="5">
        <v>39.6</v>
      </c>
      <c r="F9" s="5" t="s">
        <v>276</v>
      </c>
      <c r="G9" s="5" t="s">
        <v>276</v>
      </c>
    </row>
    <row r="10" spans="1:7" ht="16.05" customHeight="1" x14ac:dyDescent="0.45">
      <c r="A10" s="6" t="s">
        <v>35</v>
      </c>
      <c r="B10" s="6">
        <v>42705</v>
      </c>
      <c r="C10" s="6">
        <v>22768</v>
      </c>
      <c r="D10" s="6">
        <v>65473</v>
      </c>
      <c r="E10" s="6">
        <v>40</v>
      </c>
      <c r="F10" s="6" t="s">
        <v>302</v>
      </c>
      <c r="G10" s="6" t="s">
        <v>303</v>
      </c>
    </row>
    <row r="11" spans="1:7" ht="16.05" customHeight="1" x14ac:dyDescent="0.45">
      <c r="A11" s="5" t="s">
        <v>41</v>
      </c>
      <c r="B11" s="5">
        <v>43297</v>
      </c>
      <c r="C11" s="5">
        <v>23084</v>
      </c>
      <c r="D11" s="5">
        <v>66381</v>
      </c>
      <c r="E11" s="5">
        <v>40.799999999999997</v>
      </c>
      <c r="F11" s="5" t="s">
        <v>304</v>
      </c>
      <c r="G11" s="5" t="s">
        <v>303</v>
      </c>
    </row>
    <row r="12" spans="1:7" ht="16.05" customHeight="1" x14ac:dyDescent="0.45">
      <c r="A12" s="6" t="s">
        <v>47</v>
      </c>
      <c r="B12" s="6">
        <v>43732</v>
      </c>
      <c r="C12" s="6">
        <v>23316</v>
      </c>
      <c r="D12" s="6">
        <v>67048</v>
      </c>
      <c r="E12" s="6">
        <v>41.6</v>
      </c>
      <c r="F12" s="6" t="s">
        <v>305</v>
      </c>
      <c r="G12" s="6" t="s">
        <v>303</v>
      </c>
    </row>
    <row r="13" spans="1:7" ht="16.05" customHeight="1" x14ac:dyDescent="0.45">
      <c r="A13" s="5" t="s">
        <v>53</v>
      </c>
      <c r="B13" s="5">
        <v>43732</v>
      </c>
      <c r="C13" s="5">
        <v>23316</v>
      </c>
      <c r="D13" s="5">
        <v>67048</v>
      </c>
      <c r="E13" s="5">
        <v>41.6</v>
      </c>
      <c r="F13" s="5" t="s">
        <v>306</v>
      </c>
      <c r="G13" s="5" t="s">
        <v>307</v>
      </c>
    </row>
    <row r="14" spans="1:7" ht="16.05" customHeight="1" x14ac:dyDescent="0.45">
      <c r="A14" s="6" t="s">
        <v>59</v>
      </c>
      <c r="B14" s="6">
        <v>43732</v>
      </c>
      <c r="C14" s="6">
        <v>23316</v>
      </c>
      <c r="D14" s="6">
        <v>67048</v>
      </c>
      <c r="E14" s="6">
        <v>41.6</v>
      </c>
      <c r="F14" s="6" t="s">
        <v>306</v>
      </c>
      <c r="G14" s="6" t="s">
        <v>307</v>
      </c>
    </row>
    <row r="15" spans="1:7" ht="16.05" customHeight="1" x14ac:dyDescent="0.45">
      <c r="A15" s="5" t="s">
        <v>65</v>
      </c>
      <c r="B15" s="5">
        <v>45695</v>
      </c>
      <c r="C15" s="5">
        <v>24362</v>
      </c>
      <c r="D15" s="5">
        <v>70057</v>
      </c>
      <c r="E15" s="5">
        <v>42.8</v>
      </c>
      <c r="F15" s="5" t="s">
        <v>308</v>
      </c>
      <c r="G15" s="5" t="s">
        <v>303</v>
      </c>
    </row>
    <row r="16" spans="1:7" ht="16.05" customHeight="1" x14ac:dyDescent="0.45">
      <c r="A16" s="6" t="s">
        <v>72</v>
      </c>
      <c r="B16" s="6">
        <v>46273</v>
      </c>
      <c r="C16" s="6">
        <v>24670</v>
      </c>
      <c r="D16" s="6">
        <v>70943</v>
      </c>
      <c r="E16" s="6">
        <v>44</v>
      </c>
      <c r="F16" s="6" t="s">
        <v>309</v>
      </c>
      <c r="G16" s="6" t="s">
        <v>303</v>
      </c>
    </row>
    <row r="17" spans="1:7" ht="16.05" customHeight="1" x14ac:dyDescent="0.45">
      <c r="A17" s="5" t="s">
        <v>78</v>
      </c>
      <c r="B17" s="5">
        <v>46273</v>
      </c>
      <c r="C17" s="5">
        <v>24670</v>
      </c>
      <c r="D17" s="5">
        <v>70943</v>
      </c>
      <c r="E17" s="5">
        <v>44</v>
      </c>
      <c r="F17" s="5" t="s">
        <v>306</v>
      </c>
      <c r="G17" s="5" t="s">
        <v>307</v>
      </c>
    </row>
    <row r="18" spans="1:7" ht="16.05" customHeight="1" x14ac:dyDescent="0.45">
      <c r="A18" s="6" t="s">
        <v>84</v>
      </c>
      <c r="B18" s="6">
        <v>46273</v>
      </c>
      <c r="C18" s="6">
        <v>24670</v>
      </c>
      <c r="D18" s="6">
        <v>70943</v>
      </c>
      <c r="E18" s="6">
        <v>44</v>
      </c>
      <c r="F18" s="6" t="s">
        <v>306</v>
      </c>
      <c r="G18" s="6" t="s">
        <v>307</v>
      </c>
    </row>
    <row r="19" spans="1:7" ht="16.05" customHeight="1" x14ac:dyDescent="0.45">
      <c r="A19" s="5" t="s">
        <v>90</v>
      </c>
      <c r="B19" s="5">
        <v>46791</v>
      </c>
      <c r="C19" s="5">
        <v>24946</v>
      </c>
      <c r="D19" s="5">
        <v>71737</v>
      </c>
      <c r="E19" s="5">
        <v>44.8</v>
      </c>
      <c r="F19" s="5" t="s">
        <v>310</v>
      </c>
      <c r="G19" s="5" t="s">
        <v>303</v>
      </c>
    </row>
    <row r="20" spans="1:7" ht="16.05" customHeight="1" x14ac:dyDescent="0.45">
      <c r="A20" s="6" t="s">
        <v>96</v>
      </c>
      <c r="B20" s="6">
        <v>46871</v>
      </c>
      <c r="C20" s="6">
        <v>24988</v>
      </c>
      <c r="D20" s="6">
        <v>71859</v>
      </c>
      <c r="E20" s="6">
        <v>45.6</v>
      </c>
      <c r="F20" s="6" t="s">
        <v>311</v>
      </c>
      <c r="G20" s="6" t="s">
        <v>303</v>
      </c>
    </row>
    <row r="21" spans="1:7" ht="16.05" customHeight="1" x14ac:dyDescent="0.45">
      <c r="A21" s="5" t="s">
        <v>102</v>
      </c>
      <c r="B21" s="5">
        <v>48671</v>
      </c>
      <c r="C21" s="5">
        <v>25948</v>
      </c>
      <c r="D21" s="5">
        <v>74619</v>
      </c>
      <c r="E21" s="5">
        <v>46</v>
      </c>
      <c r="F21" s="5" t="s">
        <v>312</v>
      </c>
      <c r="G21" s="5" t="s">
        <v>303</v>
      </c>
    </row>
    <row r="22" spans="1:7" ht="16.05" customHeight="1" x14ac:dyDescent="0.45">
      <c r="A22" s="6" t="s">
        <v>108</v>
      </c>
      <c r="B22" s="6">
        <v>49121</v>
      </c>
      <c r="C22" s="6">
        <v>26188</v>
      </c>
      <c r="D22" s="6">
        <v>75309</v>
      </c>
      <c r="E22" s="6">
        <v>46.4</v>
      </c>
      <c r="F22" s="6" t="s">
        <v>313</v>
      </c>
      <c r="G22" s="6" t="s">
        <v>303</v>
      </c>
    </row>
    <row r="23" spans="1:7" ht="16.05" customHeight="1" x14ac:dyDescent="0.45">
      <c r="A23" s="5" t="s">
        <v>114</v>
      </c>
      <c r="B23" s="5">
        <v>49330</v>
      </c>
      <c r="C23" s="5">
        <v>26300</v>
      </c>
      <c r="D23" s="5">
        <v>75630</v>
      </c>
      <c r="E23" s="5">
        <v>47.2</v>
      </c>
      <c r="F23" s="5" t="s">
        <v>314</v>
      </c>
      <c r="G23" s="5" t="s">
        <v>303</v>
      </c>
    </row>
    <row r="24" spans="1:7" ht="16.05" customHeight="1" x14ac:dyDescent="0.45">
      <c r="A24" s="6" t="s">
        <v>120</v>
      </c>
      <c r="B24" s="6">
        <v>49390</v>
      </c>
      <c r="C24" s="6">
        <v>26332</v>
      </c>
      <c r="D24" s="6">
        <v>75722</v>
      </c>
      <c r="E24" s="6">
        <v>47.6</v>
      </c>
      <c r="F24" s="6" t="s">
        <v>315</v>
      </c>
      <c r="G24" s="6" t="s">
        <v>303</v>
      </c>
    </row>
    <row r="25" spans="1:7" ht="16.05" customHeight="1" x14ac:dyDescent="0.45">
      <c r="A25" s="5" t="s">
        <v>126</v>
      </c>
      <c r="B25" s="5">
        <v>49785</v>
      </c>
      <c r="C25" s="5">
        <v>26542</v>
      </c>
      <c r="D25" s="5">
        <v>76327</v>
      </c>
      <c r="E25" s="5">
        <v>48.4</v>
      </c>
      <c r="F25" s="5" t="s">
        <v>316</v>
      </c>
      <c r="G25" s="5" t="s">
        <v>303</v>
      </c>
    </row>
    <row r="26" spans="1:7" ht="18" customHeight="1" x14ac:dyDescent="0.45">
      <c r="A26" s="15" t="s">
        <v>264</v>
      </c>
      <c r="B26" s="15">
        <v>784356</v>
      </c>
      <c r="C26" s="15">
        <v>418174</v>
      </c>
      <c r="D26" s="15">
        <v>1202530</v>
      </c>
      <c r="E26" s="15">
        <v>746</v>
      </c>
      <c r="F26" s="15" t="s">
        <v>276</v>
      </c>
      <c r="G26" s="15" t="s">
        <v>317</v>
      </c>
    </row>
    <row r="27" spans="1:7" ht="10.050000000000001" customHeight="1" x14ac:dyDescent="0.45"/>
    <row r="28" spans="1:7" ht="22.05" customHeight="1" x14ac:dyDescent="0.45">
      <c r="A28" s="24" t="s">
        <v>318</v>
      </c>
      <c r="B28" s="18"/>
      <c r="C28" s="18"/>
      <c r="D28" s="18"/>
      <c r="E28" s="18"/>
      <c r="F28" s="18"/>
      <c r="G28" s="18"/>
    </row>
    <row r="29" spans="1:7" ht="4.05" customHeight="1" x14ac:dyDescent="0.45"/>
    <row r="30" spans="1:7" ht="18" customHeight="1" x14ac:dyDescent="0.45">
      <c r="A30" s="15" t="s">
        <v>1</v>
      </c>
      <c r="B30" s="15" t="s">
        <v>252</v>
      </c>
      <c r="C30" s="15" t="s">
        <v>253</v>
      </c>
      <c r="D30" s="15" t="s">
        <v>254</v>
      </c>
      <c r="E30" s="15" t="s">
        <v>319</v>
      </c>
      <c r="F30" s="15" t="s">
        <v>256</v>
      </c>
      <c r="G30" s="15" t="s">
        <v>320</v>
      </c>
    </row>
    <row r="31" spans="1:7" ht="16.05" customHeight="1" x14ac:dyDescent="0.45">
      <c r="A31" s="5" t="s">
        <v>20</v>
      </c>
      <c r="B31" s="5">
        <v>4420</v>
      </c>
      <c r="C31" s="5">
        <v>2210</v>
      </c>
      <c r="D31" s="5">
        <v>6630</v>
      </c>
      <c r="E31" s="5" t="s">
        <v>257</v>
      </c>
      <c r="F31" s="5">
        <v>88.4</v>
      </c>
      <c r="G31" s="5" t="s">
        <v>295</v>
      </c>
    </row>
    <row r="32" spans="1:7" ht="16.05" customHeight="1" x14ac:dyDescent="0.45">
      <c r="A32" s="6" t="s">
        <v>16</v>
      </c>
      <c r="B32" s="6">
        <v>10061</v>
      </c>
      <c r="C32" s="6">
        <v>5364</v>
      </c>
      <c r="D32" s="6">
        <v>15425</v>
      </c>
      <c r="E32" s="6" t="s">
        <v>258</v>
      </c>
      <c r="F32" s="6">
        <v>59.6</v>
      </c>
      <c r="G32" s="6" t="s">
        <v>295</v>
      </c>
    </row>
    <row r="33" spans="1:7" ht="16.05" customHeight="1" x14ac:dyDescent="0.45">
      <c r="A33" s="5" t="s">
        <v>30</v>
      </c>
      <c r="B33" s="5">
        <v>24360</v>
      </c>
      <c r="C33" s="5">
        <v>12992</v>
      </c>
      <c r="D33" s="5">
        <v>37352</v>
      </c>
      <c r="E33" s="5" t="s">
        <v>259</v>
      </c>
      <c r="F33" s="5">
        <v>162.4</v>
      </c>
      <c r="G33" s="5" t="s">
        <v>295</v>
      </c>
    </row>
    <row r="34" spans="1:7" ht="16.05" customHeight="1" x14ac:dyDescent="0.45">
      <c r="A34" s="6" t="s">
        <v>22</v>
      </c>
      <c r="B34" s="6">
        <v>43890</v>
      </c>
      <c r="C34" s="6">
        <v>23408</v>
      </c>
      <c r="D34" s="6">
        <v>67298</v>
      </c>
      <c r="E34" s="6" t="s">
        <v>260</v>
      </c>
      <c r="F34" s="6">
        <v>123.2</v>
      </c>
      <c r="G34" s="6" t="s">
        <v>295</v>
      </c>
    </row>
    <row r="35" spans="1:7" ht="16.05" customHeight="1" x14ac:dyDescent="0.45">
      <c r="A35" s="5" t="s">
        <v>25</v>
      </c>
      <c r="B35" s="5">
        <v>78375</v>
      </c>
      <c r="C35" s="5">
        <v>41800</v>
      </c>
      <c r="D35" s="5">
        <v>120175</v>
      </c>
      <c r="E35" s="5" t="s">
        <v>261</v>
      </c>
      <c r="F35" s="5">
        <v>83.6</v>
      </c>
      <c r="G35" s="5" t="s">
        <v>295</v>
      </c>
    </row>
    <row r="36" spans="1:7" ht="16.05" customHeight="1" x14ac:dyDescent="0.45">
      <c r="A36" s="6" t="s">
        <v>27</v>
      </c>
      <c r="B36" s="6">
        <v>135450</v>
      </c>
      <c r="C36" s="6">
        <v>72240</v>
      </c>
      <c r="D36" s="6">
        <v>207690</v>
      </c>
      <c r="E36" s="6" t="s">
        <v>262</v>
      </c>
      <c r="F36" s="6">
        <v>120.4</v>
      </c>
      <c r="G36" s="6" t="s">
        <v>290</v>
      </c>
    </row>
    <row r="37" spans="1:7" ht="16.05" customHeight="1" x14ac:dyDescent="0.45">
      <c r="A37" s="5" t="s">
        <v>33</v>
      </c>
      <c r="B37" s="5">
        <v>487800</v>
      </c>
      <c r="C37" s="5">
        <v>260160</v>
      </c>
      <c r="D37" s="5">
        <v>747960</v>
      </c>
      <c r="E37" s="5" t="s">
        <v>263</v>
      </c>
      <c r="F37" s="5">
        <v>108.4</v>
      </c>
      <c r="G37" s="5" t="s">
        <v>321</v>
      </c>
    </row>
  </sheetData>
  <mergeCells count="5">
    <mergeCell ref="A1:G1"/>
    <mergeCell ref="A6:G6"/>
    <mergeCell ref="A4:G4"/>
    <mergeCell ref="A2:G2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tabSelected="1" workbookViewId="0">
      <selection sqref="A1:J1"/>
    </sheetView>
  </sheetViews>
  <sheetFormatPr defaultRowHeight="14.25" x14ac:dyDescent="0.45"/>
  <cols>
    <col min="1" max="1" width="14" customWidth="1"/>
    <col min="2" max="3" width="12" customWidth="1"/>
    <col min="4" max="4" width="15.59765625" customWidth="1"/>
    <col min="5" max="7" width="12" customWidth="1"/>
    <col min="8" max="8" width="16.53125" customWidth="1"/>
    <col min="9" max="19" width="12" customWidth="1"/>
  </cols>
  <sheetData>
    <row r="1" spans="1:10" ht="28.05" customHeight="1" x14ac:dyDescent="0.45">
      <c r="A1" s="17" t="s">
        <v>368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.05" customHeight="1" x14ac:dyDescent="0.45">
      <c r="A2" s="20" t="s">
        <v>322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" customHeight="1" x14ac:dyDescent="0.45"/>
    <row r="4" spans="1:10" ht="22.05" customHeight="1" x14ac:dyDescent="0.45">
      <c r="A4" s="19" t="s">
        <v>323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4.05" customHeight="1" x14ac:dyDescent="0.45"/>
    <row r="6" spans="1:10" ht="32.65" customHeight="1" x14ac:dyDescent="0.45">
      <c r="A6" s="16" t="s">
        <v>0</v>
      </c>
      <c r="B6" s="16" t="s">
        <v>16</v>
      </c>
      <c r="C6" s="16" t="s">
        <v>20</v>
      </c>
      <c r="D6" s="16" t="s">
        <v>22</v>
      </c>
      <c r="E6" s="16" t="s">
        <v>25</v>
      </c>
      <c r="F6" s="16" t="s">
        <v>27</v>
      </c>
      <c r="G6" s="16" t="s">
        <v>30</v>
      </c>
      <c r="H6" s="16" t="s">
        <v>33</v>
      </c>
      <c r="I6" s="16" t="s">
        <v>324</v>
      </c>
    </row>
    <row r="7" spans="1:10" ht="16.05" customHeight="1" x14ac:dyDescent="0.45">
      <c r="A7" s="5" t="s">
        <v>15</v>
      </c>
      <c r="B7" s="5">
        <v>165</v>
      </c>
      <c r="C7" s="5">
        <v>202</v>
      </c>
      <c r="D7" s="5">
        <v>239</v>
      </c>
      <c r="E7" s="5">
        <v>276</v>
      </c>
      <c r="F7" s="5">
        <v>313</v>
      </c>
      <c r="G7" s="5">
        <v>350</v>
      </c>
      <c r="H7" s="5">
        <v>387</v>
      </c>
      <c r="I7" s="5">
        <v>1932</v>
      </c>
    </row>
    <row r="8" spans="1:10" ht="16.05" customHeight="1" x14ac:dyDescent="0.45">
      <c r="A8" s="6" t="s">
        <v>35</v>
      </c>
      <c r="B8" s="6">
        <v>170</v>
      </c>
      <c r="C8" s="6">
        <v>207</v>
      </c>
      <c r="D8" s="6">
        <v>244</v>
      </c>
      <c r="E8" s="6">
        <v>281</v>
      </c>
      <c r="F8" s="6">
        <v>318</v>
      </c>
      <c r="G8" s="6">
        <v>355</v>
      </c>
      <c r="H8" s="6">
        <v>392</v>
      </c>
      <c r="I8" s="6">
        <v>1967</v>
      </c>
    </row>
    <row r="9" spans="1:10" ht="16.05" customHeight="1" x14ac:dyDescent="0.45">
      <c r="A9" s="5" t="s">
        <v>41</v>
      </c>
      <c r="B9" s="5">
        <v>176</v>
      </c>
      <c r="C9" s="5">
        <v>213</v>
      </c>
      <c r="D9" s="5">
        <v>250</v>
      </c>
      <c r="E9" s="5">
        <v>287</v>
      </c>
      <c r="F9" s="5">
        <v>324</v>
      </c>
      <c r="G9" s="5">
        <v>361</v>
      </c>
      <c r="H9" s="5">
        <v>398</v>
      </c>
      <c r="I9" s="5">
        <v>2009</v>
      </c>
    </row>
    <row r="10" spans="1:10" ht="16.05" customHeight="1" x14ac:dyDescent="0.45">
      <c r="A10" s="6" t="s">
        <v>47</v>
      </c>
      <c r="B10" s="6">
        <v>181</v>
      </c>
      <c r="C10" s="6">
        <v>218</v>
      </c>
      <c r="D10" s="6">
        <v>255</v>
      </c>
      <c r="E10" s="6">
        <v>292</v>
      </c>
      <c r="F10" s="6">
        <v>329</v>
      </c>
      <c r="G10" s="6">
        <v>366</v>
      </c>
      <c r="H10" s="6">
        <v>403</v>
      </c>
      <c r="I10" s="6">
        <v>2044</v>
      </c>
    </row>
    <row r="11" spans="1:10" ht="16.05" customHeight="1" x14ac:dyDescent="0.45">
      <c r="A11" s="5" t="s">
        <v>53</v>
      </c>
      <c r="B11" s="5">
        <v>187</v>
      </c>
      <c r="C11" s="5">
        <v>224</v>
      </c>
      <c r="D11" s="5">
        <v>261</v>
      </c>
      <c r="E11" s="5">
        <v>298</v>
      </c>
      <c r="F11" s="5">
        <v>335</v>
      </c>
      <c r="G11" s="5">
        <v>372</v>
      </c>
      <c r="H11" s="5">
        <v>409</v>
      </c>
      <c r="I11" s="5">
        <v>2086</v>
      </c>
    </row>
    <row r="12" spans="1:10" ht="16.05" customHeight="1" x14ac:dyDescent="0.45">
      <c r="A12" s="6" t="s">
        <v>59</v>
      </c>
      <c r="B12" s="6">
        <v>192</v>
      </c>
      <c r="C12" s="6">
        <v>229</v>
      </c>
      <c r="D12" s="6">
        <v>266</v>
      </c>
      <c r="E12" s="6">
        <v>303</v>
      </c>
      <c r="F12" s="6">
        <v>340</v>
      </c>
      <c r="G12" s="6">
        <v>377</v>
      </c>
      <c r="H12" s="6">
        <v>414</v>
      </c>
      <c r="I12" s="6">
        <v>2121</v>
      </c>
    </row>
    <row r="13" spans="1:10" ht="16.05" customHeight="1" x14ac:dyDescent="0.45">
      <c r="A13" s="5" t="s">
        <v>65</v>
      </c>
      <c r="B13" s="5">
        <v>198</v>
      </c>
      <c r="C13" s="5">
        <v>235</v>
      </c>
      <c r="D13" s="5">
        <v>272</v>
      </c>
      <c r="E13" s="5">
        <v>309</v>
      </c>
      <c r="F13" s="5">
        <v>346</v>
      </c>
      <c r="G13" s="5">
        <v>383</v>
      </c>
      <c r="H13" s="5">
        <v>420</v>
      </c>
      <c r="I13" s="5">
        <v>2163</v>
      </c>
    </row>
    <row r="14" spans="1:10" ht="16.05" customHeight="1" x14ac:dyDescent="0.45">
      <c r="A14" s="6" t="s">
        <v>72</v>
      </c>
      <c r="B14" s="6">
        <v>203</v>
      </c>
      <c r="C14" s="6">
        <v>240</v>
      </c>
      <c r="D14" s="6">
        <v>277</v>
      </c>
      <c r="E14" s="6">
        <v>314</v>
      </c>
      <c r="F14" s="6">
        <v>351</v>
      </c>
      <c r="G14" s="6">
        <v>388</v>
      </c>
      <c r="H14" s="6">
        <v>425</v>
      </c>
      <c r="I14" s="6">
        <v>2198</v>
      </c>
    </row>
    <row r="15" spans="1:10" ht="16.05" customHeight="1" x14ac:dyDescent="0.45">
      <c r="A15" s="5" t="s">
        <v>78</v>
      </c>
      <c r="B15" s="5">
        <v>209</v>
      </c>
      <c r="C15" s="5">
        <v>246</v>
      </c>
      <c r="D15" s="5">
        <v>283</v>
      </c>
      <c r="E15" s="5">
        <v>320</v>
      </c>
      <c r="F15" s="5">
        <v>357</v>
      </c>
      <c r="G15" s="5">
        <v>394</v>
      </c>
      <c r="H15" s="5">
        <v>431</v>
      </c>
      <c r="I15" s="5">
        <v>2240</v>
      </c>
    </row>
    <row r="16" spans="1:10" ht="16.05" customHeight="1" x14ac:dyDescent="0.45">
      <c r="A16" s="6" t="s">
        <v>84</v>
      </c>
      <c r="B16" s="6">
        <v>214</v>
      </c>
      <c r="C16" s="6">
        <v>251</v>
      </c>
      <c r="D16" s="6">
        <v>288</v>
      </c>
      <c r="E16" s="6">
        <v>325</v>
      </c>
      <c r="F16" s="6">
        <v>362</v>
      </c>
      <c r="G16" s="6">
        <v>399</v>
      </c>
      <c r="H16" s="6">
        <v>436</v>
      </c>
      <c r="I16" s="6">
        <v>2275</v>
      </c>
    </row>
    <row r="17" spans="1:10" ht="16.05" customHeight="1" x14ac:dyDescent="0.45">
      <c r="A17" s="5" t="s">
        <v>90</v>
      </c>
      <c r="B17" s="5">
        <v>220</v>
      </c>
      <c r="C17" s="5">
        <v>257</v>
      </c>
      <c r="D17" s="5">
        <v>294</v>
      </c>
      <c r="E17" s="5">
        <v>331</v>
      </c>
      <c r="F17" s="5">
        <v>368</v>
      </c>
      <c r="G17" s="5">
        <v>405</v>
      </c>
      <c r="H17" s="5">
        <v>442</v>
      </c>
      <c r="I17" s="5">
        <v>2317</v>
      </c>
    </row>
    <row r="18" spans="1:10" ht="16.05" customHeight="1" x14ac:dyDescent="0.45">
      <c r="A18" s="6" t="s">
        <v>96</v>
      </c>
      <c r="B18" s="6">
        <v>225</v>
      </c>
      <c r="C18" s="6">
        <v>262</v>
      </c>
      <c r="D18" s="6">
        <v>299</v>
      </c>
      <c r="E18" s="6">
        <v>336</v>
      </c>
      <c r="F18" s="6">
        <v>373</v>
      </c>
      <c r="G18" s="6">
        <v>410</v>
      </c>
      <c r="H18" s="6">
        <v>447</v>
      </c>
      <c r="I18" s="6">
        <v>2352</v>
      </c>
    </row>
    <row r="19" spans="1:10" ht="16.05" customHeight="1" x14ac:dyDescent="0.45">
      <c r="A19" s="5" t="s">
        <v>102</v>
      </c>
      <c r="B19" s="5">
        <v>231</v>
      </c>
      <c r="C19" s="5">
        <v>268</v>
      </c>
      <c r="D19" s="5">
        <v>305</v>
      </c>
      <c r="E19" s="5">
        <v>342</v>
      </c>
      <c r="F19" s="5">
        <v>379</v>
      </c>
      <c r="G19" s="5">
        <v>416</v>
      </c>
      <c r="H19" s="5">
        <v>453</v>
      </c>
      <c r="I19" s="5">
        <v>2394</v>
      </c>
    </row>
    <row r="20" spans="1:10" ht="16.05" customHeight="1" x14ac:dyDescent="0.45">
      <c r="A20" s="6" t="s">
        <v>108</v>
      </c>
      <c r="B20" s="6">
        <v>236</v>
      </c>
      <c r="C20" s="6">
        <v>273</v>
      </c>
      <c r="D20" s="6">
        <v>310</v>
      </c>
      <c r="E20" s="6">
        <v>347</v>
      </c>
      <c r="F20" s="6">
        <v>384</v>
      </c>
      <c r="G20" s="6">
        <v>421</v>
      </c>
      <c r="H20" s="6">
        <v>458</v>
      </c>
      <c r="I20" s="6">
        <v>2429</v>
      </c>
    </row>
    <row r="21" spans="1:10" ht="16.05" customHeight="1" x14ac:dyDescent="0.45">
      <c r="A21" s="5" t="s">
        <v>114</v>
      </c>
      <c r="B21" s="5">
        <v>242</v>
      </c>
      <c r="C21" s="5">
        <v>279</v>
      </c>
      <c r="D21" s="5">
        <v>316</v>
      </c>
      <c r="E21" s="5">
        <v>353</v>
      </c>
      <c r="F21" s="5">
        <v>390</v>
      </c>
      <c r="G21" s="5">
        <v>427</v>
      </c>
      <c r="H21" s="5">
        <v>464</v>
      </c>
      <c r="I21" s="5">
        <v>2471</v>
      </c>
    </row>
    <row r="22" spans="1:10" ht="16.05" customHeight="1" x14ac:dyDescent="0.45">
      <c r="A22" s="6" t="s">
        <v>120</v>
      </c>
      <c r="B22" s="6">
        <v>247</v>
      </c>
      <c r="C22" s="6">
        <v>284</v>
      </c>
      <c r="D22" s="6">
        <v>321</v>
      </c>
      <c r="E22" s="6">
        <v>358</v>
      </c>
      <c r="F22" s="6">
        <v>395</v>
      </c>
      <c r="G22" s="6">
        <v>432</v>
      </c>
      <c r="H22" s="6">
        <v>469</v>
      </c>
      <c r="I22" s="6">
        <v>2506</v>
      </c>
    </row>
    <row r="23" spans="1:10" ht="16.05" customHeight="1" x14ac:dyDescent="0.45">
      <c r="A23" s="5" t="s">
        <v>126</v>
      </c>
      <c r="B23" s="5">
        <v>253</v>
      </c>
      <c r="C23" s="5">
        <v>290</v>
      </c>
      <c r="D23" s="5">
        <v>327</v>
      </c>
      <c r="E23" s="5">
        <v>364</v>
      </c>
      <c r="F23" s="5">
        <v>401</v>
      </c>
      <c r="G23" s="5">
        <v>438</v>
      </c>
      <c r="H23" s="5">
        <v>475</v>
      </c>
      <c r="I23" s="5">
        <v>2548</v>
      </c>
    </row>
    <row r="24" spans="1:10" ht="18" customHeight="1" x14ac:dyDescent="0.45">
      <c r="A24" s="16" t="s">
        <v>264</v>
      </c>
      <c r="B24" s="16">
        <v>3549</v>
      </c>
      <c r="C24" s="16">
        <v>4178</v>
      </c>
      <c r="D24" s="16">
        <v>4807</v>
      </c>
      <c r="E24" s="16">
        <v>5436</v>
      </c>
      <c r="F24" s="16">
        <v>6065</v>
      </c>
      <c r="G24" s="16">
        <v>6694</v>
      </c>
      <c r="H24" s="16">
        <v>7323</v>
      </c>
      <c r="I24" s="16">
        <v>38052</v>
      </c>
    </row>
    <row r="25" spans="1:10" ht="10.050000000000001" customHeight="1" x14ac:dyDescent="0.45"/>
    <row r="26" spans="1:10" ht="22.05" customHeight="1" x14ac:dyDescent="0.45">
      <c r="A26" s="19" t="s">
        <v>325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4.05" customHeight="1" x14ac:dyDescent="0.45"/>
    <row r="28" spans="1:10" ht="48.75" customHeight="1" x14ac:dyDescent="0.45">
      <c r="A28" s="16" t="s">
        <v>1</v>
      </c>
      <c r="B28" s="16" t="s">
        <v>209</v>
      </c>
      <c r="C28" s="16" t="s">
        <v>326</v>
      </c>
      <c r="D28" s="16" t="s">
        <v>327</v>
      </c>
      <c r="E28" s="16" t="s">
        <v>328</v>
      </c>
      <c r="F28" s="16" t="s">
        <v>329</v>
      </c>
      <c r="G28" s="16" t="s">
        <v>330</v>
      </c>
      <c r="H28" s="16" t="s">
        <v>331</v>
      </c>
    </row>
    <row r="29" spans="1:10" ht="28.15" customHeight="1" x14ac:dyDescent="0.45">
      <c r="A29" s="5" t="s">
        <v>33</v>
      </c>
      <c r="B29" s="5" t="s">
        <v>220</v>
      </c>
      <c r="C29" s="5">
        <v>431</v>
      </c>
      <c r="D29" s="5">
        <v>5172</v>
      </c>
      <c r="E29" s="5" t="s">
        <v>332</v>
      </c>
      <c r="F29" s="5" t="s">
        <v>333</v>
      </c>
      <c r="G29" s="5" t="s">
        <v>334</v>
      </c>
      <c r="H29" s="5" t="s">
        <v>335</v>
      </c>
    </row>
    <row r="30" spans="1:10" ht="35.25" customHeight="1" x14ac:dyDescent="0.45">
      <c r="A30" s="6" t="s">
        <v>27</v>
      </c>
      <c r="B30" s="6" t="s">
        <v>218</v>
      </c>
      <c r="C30" s="6">
        <v>357</v>
      </c>
      <c r="D30" s="6">
        <v>4284</v>
      </c>
      <c r="E30" s="6" t="s">
        <v>336</v>
      </c>
      <c r="F30" s="6" t="s">
        <v>337</v>
      </c>
      <c r="G30" s="6" t="s">
        <v>338</v>
      </c>
      <c r="H30" s="6" t="s">
        <v>339</v>
      </c>
    </row>
    <row r="31" spans="1:10" ht="28.25" customHeight="1" x14ac:dyDescent="0.45">
      <c r="A31" s="5" t="s">
        <v>25</v>
      </c>
      <c r="B31" s="5" t="s">
        <v>216</v>
      </c>
      <c r="C31" s="5">
        <v>320</v>
      </c>
      <c r="D31" s="5">
        <v>3840</v>
      </c>
      <c r="E31" s="5" t="s">
        <v>340</v>
      </c>
      <c r="F31" s="5" t="s">
        <v>341</v>
      </c>
      <c r="G31" s="5" t="s">
        <v>342</v>
      </c>
      <c r="H31" s="5" t="s">
        <v>343</v>
      </c>
    </row>
    <row r="32" spans="1:10" ht="27.85" customHeight="1" x14ac:dyDescent="0.45">
      <c r="A32" s="6" t="s">
        <v>22</v>
      </c>
      <c r="B32" s="6" t="s">
        <v>215</v>
      </c>
      <c r="C32" s="6">
        <v>283</v>
      </c>
      <c r="D32" s="6">
        <v>3396</v>
      </c>
      <c r="E32" s="6" t="s">
        <v>344</v>
      </c>
      <c r="F32" s="6" t="s">
        <v>345</v>
      </c>
      <c r="G32" s="6" t="s">
        <v>342</v>
      </c>
      <c r="H32" s="6" t="s">
        <v>343</v>
      </c>
    </row>
    <row r="33" spans="1:10" ht="28.9" customHeight="1" x14ac:dyDescent="0.45">
      <c r="A33" s="5" t="s">
        <v>30</v>
      </c>
      <c r="B33" s="5" t="s">
        <v>219</v>
      </c>
      <c r="C33" s="5">
        <v>394</v>
      </c>
      <c r="D33" s="5">
        <v>4728</v>
      </c>
      <c r="E33" s="5" t="s">
        <v>346</v>
      </c>
      <c r="F33" s="5" t="s">
        <v>347</v>
      </c>
      <c r="G33" s="5" t="s">
        <v>342</v>
      </c>
      <c r="H33" s="5" t="s">
        <v>343</v>
      </c>
    </row>
    <row r="34" spans="1:10" ht="24.85" customHeight="1" x14ac:dyDescent="0.45">
      <c r="A34" s="6" t="s">
        <v>16</v>
      </c>
      <c r="B34" s="6" t="s">
        <v>212</v>
      </c>
      <c r="C34" s="6">
        <v>209</v>
      </c>
      <c r="D34" s="6">
        <v>2508</v>
      </c>
      <c r="E34" s="6" t="s">
        <v>348</v>
      </c>
      <c r="F34" s="6" t="s">
        <v>349</v>
      </c>
      <c r="G34" s="6" t="s">
        <v>342</v>
      </c>
      <c r="H34" s="6" t="s">
        <v>343</v>
      </c>
    </row>
    <row r="35" spans="1:10" ht="24.4" customHeight="1" x14ac:dyDescent="0.45">
      <c r="A35" s="5" t="s">
        <v>20</v>
      </c>
      <c r="B35" s="5" t="s">
        <v>214</v>
      </c>
      <c r="C35" s="5">
        <v>246</v>
      </c>
      <c r="D35" s="5">
        <v>2952</v>
      </c>
      <c r="E35" s="5" t="s">
        <v>350</v>
      </c>
      <c r="F35" s="5" t="s">
        <v>351</v>
      </c>
      <c r="G35" s="5" t="s">
        <v>342</v>
      </c>
      <c r="H35" s="5" t="s">
        <v>343</v>
      </c>
    </row>
    <row r="37" spans="1:10" ht="10.050000000000001" customHeight="1" x14ac:dyDescent="0.45"/>
    <row r="38" spans="1:10" ht="22.05" customHeight="1" x14ac:dyDescent="0.45">
      <c r="A38" s="19" t="s">
        <v>352</v>
      </c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4.05" customHeight="1" x14ac:dyDescent="0.45"/>
    <row r="40" spans="1:10" ht="43.9" customHeight="1" x14ac:dyDescent="0.45">
      <c r="A40" s="16" t="s">
        <v>0</v>
      </c>
      <c r="B40" s="16" t="s">
        <v>1</v>
      </c>
      <c r="C40" s="16" t="s">
        <v>353</v>
      </c>
      <c r="D40" s="16" t="s">
        <v>354</v>
      </c>
      <c r="E40" s="16" t="s">
        <v>355</v>
      </c>
      <c r="F40" s="16" t="s">
        <v>356</v>
      </c>
    </row>
    <row r="41" spans="1:10" ht="43.25" customHeight="1" x14ac:dyDescent="0.45">
      <c r="A41" s="5" t="s">
        <v>65</v>
      </c>
      <c r="B41" s="5" t="s">
        <v>20</v>
      </c>
      <c r="C41" s="5">
        <v>235</v>
      </c>
      <c r="D41" s="5">
        <v>1162</v>
      </c>
      <c r="E41" s="5" t="s">
        <v>67</v>
      </c>
      <c r="F41" s="5" t="s">
        <v>357</v>
      </c>
    </row>
    <row r="42" spans="1:10" ht="47.75" customHeight="1" x14ac:dyDescent="0.45">
      <c r="A42" s="5" t="s">
        <v>108</v>
      </c>
      <c r="B42" s="5" t="s">
        <v>16</v>
      </c>
      <c r="C42" s="5">
        <v>236</v>
      </c>
      <c r="D42" s="5">
        <v>1180</v>
      </c>
      <c r="E42" s="5" t="s">
        <v>67</v>
      </c>
      <c r="F42" s="5" t="s">
        <v>357</v>
      </c>
    </row>
  </sheetData>
  <mergeCells count="5">
    <mergeCell ref="A1:J1"/>
    <mergeCell ref="A4:J4"/>
    <mergeCell ref="A26:J26"/>
    <mergeCell ref="A38:J3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Metadata</vt:lpstr>
      <vt:lpstr>Descriptive_Statistics</vt:lpstr>
      <vt:lpstr>P1_Defect_Analysis</vt:lpstr>
      <vt:lpstr>P2_COPQ_Analysis</vt:lpstr>
      <vt:lpstr>P3_Inventory_Analysis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Batra</cp:lastModifiedBy>
  <dcterms:created xsi:type="dcterms:W3CDTF">2026-07-07T20:43:22Z</dcterms:created>
  <dcterms:modified xsi:type="dcterms:W3CDTF">2026-10-06T18:35:04Z</dcterms:modified>
</cp:coreProperties>
</file>